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a192b20de14f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레시피 목록" sheetId="1" r:id="R5a1ea9be07c14d10"/>
    <x:sheet xmlns:r="http://schemas.openxmlformats.org/officeDocument/2006/relationships" name="설정" sheetId="2" r:id="R0196de02ab1d47c3"/>
    <x:sheet xmlns:r="http://schemas.openxmlformats.org/officeDocument/2006/relationships" name="재료 사용 분석" sheetId="3" r:id="R7e569098054844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&quot;원&quot;"/>
    <x:numFmt numFmtId="201" formatCode="0.0&quot;초&quot;"/>
    <x:numFmt numFmtId="202" formatCode="0.0"/>
    <x:numFmt numFmtId="203" formatCode="0%"/>
    <x:numFmt numFmtId="204" formatCode="0.0%"/>
  </x:numFmts>
  <x:fonts count="10">
    <x:font>
      <x:sz val="11"/>
      <x:name val="Carlito"/>
    </x:font>
    <x:font>
      <x:b/>
      <x:sz val="18"/>
      <x:color rgb="FFFFFFFF"/>
      <x:name val="Carlito"/>
    </x:font>
    <x:font>
      <x:sz val="10"/>
      <x:color rgb="FF52632D"/>
      <x:name val="Carlito"/>
    </x:font>
    <x:font>
      <x:b/>
      <x:sz val="15"/>
      <x:color rgb="FFFFFFFF"/>
      <x:name val="Carlito"/>
    </x:font>
    <x:font>
      <x:b/>
      <x:sz val="11"/>
      <x:color rgb="FF5B4026"/>
      <x:name val="Carlito"/>
    </x:font>
    <x:font>
      <x:b/>
      <x:sz val="11"/>
      <x:color rgb="FF6A5139"/>
      <x:name val="Carlito"/>
    </x:font>
    <x:font>
      <x:b/>
      <x:sz val="11"/>
      <x:color rgb="FFFFFFFF"/>
      <x:name val="Carlito"/>
    </x:font>
    <x:font>
      <x:b/>
      <x:sz val="13"/>
      <x:color rgb="FF40551D"/>
      <x:name val="Carlito"/>
    </x:font>
    <x:font>
      <x:b/>
      <x:sz val="11"/>
      <x:color rgb="FF6A4A28"/>
      <x:name val="Carlito"/>
    </x:font>
    <x:font>
      <x:sz val="9"/>
      <x:color rgb="FF6D664F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6F8A3B"/>
      </x:patternFill>
    </x:fill>
    <x:fill>
      <x:patternFill patternType="solid">
        <x:fgColor rgb="FFEDF3D5"/>
      </x:patternFill>
    </x:fill>
    <x:fill>
      <x:patternFill patternType="solid">
        <x:fgColor rgb="FF8B6A43"/>
      </x:patternFill>
    </x:fill>
    <x:fill>
      <x:patternFill patternType="solid">
        <x:fgColor rgb="FFE9D9BC"/>
      </x:patternFill>
    </x:fill>
    <x:fill>
      <x:patternFill patternType="solid">
        <x:fgColor rgb="FF6F8A3B"/>
      </x:patternFill>
    </x:fill>
    <x:fill>
      <x:patternFill patternType="solid">
        <x:fgColor rgb="FFEDF3D5"/>
      </x:patternFill>
    </x:fill>
    <x:fill>
      <x:patternFill patternType="solid">
        <x:fgColor rgb="FF5E7C2E"/>
      </x:patternFill>
    </x:fill>
    <x:fill>
      <x:patternFill patternType="solid">
        <x:fgColor rgb="FFE8F2CF"/>
      </x:patternFill>
    </x:fill>
    <x:fill>
      <x:patternFill patternType="solid">
        <x:fgColor rgb="FFA47D47"/>
      </x:patternFill>
    </x:fill>
    <x:fill>
      <x:patternFill patternType="solid">
        <x:fgColor rgb="FFF4E8D4"/>
      </x:patternFill>
    </x:fill>
    <x:fill>
      <x:patternFill patternType="solid">
        <x:fgColor rgb="FFF5F2E8"/>
      </x:patternFill>
    </x:fill>
  </x:fills>
  <x:borders count="22">
    <x:border/>
    <x:border>
      <x:right style="thin">
        <x:color rgb="FFD8CCB9"/>
      </x:right>
      <x:bottom style="thin">
        <x:color rgb="FFD8CCB9"/>
      </x:bottom>
    </x:border>
    <x:border>
      <x:left style="thin">
        <x:color rgb="FFD8CCB9"/>
      </x:left>
      <x:right style="thin">
        <x:color rgb="FFD8CCB9"/>
      </x:right>
      <x:bottom style="thin">
        <x:color rgb="FFD8CCB9"/>
      </x:bottom>
    </x:border>
    <x:border>
      <x:left style="thin">
        <x:color rgb="FFD8CCB9"/>
      </x:left>
      <x:bottom style="thin">
        <x:color rgb="FFD8CCB9"/>
      </x:bottom>
    </x:border>
    <x:border>
      <x:right style="thin">
        <x:color rgb="FFD8CCB9"/>
      </x:right>
      <x:top style="thin">
        <x:color rgb="FFD8CCB9"/>
      </x:top>
      <x:bottom style="thin">
        <x:color rgb="FFD8CCB9"/>
      </x:bottom>
    </x:border>
    <x:border>
      <x:left style="thin">
        <x:color rgb="FFD8CCB9"/>
      </x:left>
      <x:right style="thin">
        <x:color rgb="FFD8CCB9"/>
      </x:right>
      <x:top style="thin">
        <x:color rgb="FFD8CCB9"/>
      </x:top>
      <x:bottom style="thin">
        <x:color rgb="FFD8CCB9"/>
      </x:bottom>
    </x:border>
    <x:border>
      <x:left style="thin">
        <x:color rgb="FFD8CCB9"/>
      </x:left>
      <x:top style="thin">
        <x:color rgb="FFD8CCB9"/>
      </x:top>
      <x:bottom style="thin">
        <x:color rgb="FFD8CCB9"/>
      </x:bottom>
    </x:border>
    <x:border>
      <x:right style="thin">
        <x:color rgb="FFD8CCB9"/>
      </x:right>
      <x:top style="thin">
        <x:color rgb="FFD8CCB9"/>
      </x:top>
    </x:border>
    <x:border>
      <x:left style="thin">
        <x:color rgb="FFD8CCB9"/>
      </x:left>
      <x:right style="thin">
        <x:color rgb="FFD8CCB9"/>
      </x:right>
      <x:top style="thin">
        <x:color rgb="FFD8CCB9"/>
      </x:top>
    </x:border>
    <x:border>
      <x:left style="thin">
        <x:color rgb="FFD8CCB9"/>
      </x:left>
      <x:top style="thin">
        <x:color rgb="FFD8CCB9"/>
      </x:top>
    </x:border>
    <x:border>
      <x:left style="medium">
        <x:color rgb="FF8AA557"/>
      </x:left>
      <x:top style="medium">
        <x:color rgb="FF8AA557"/>
      </x:top>
    </x:border>
    <x:border>
      <x:top style="medium">
        <x:color rgb="FF8AA557"/>
      </x:top>
    </x:border>
    <x:border>
      <x:right style="medium">
        <x:color rgb="FF8AA557"/>
      </x:right>
      <x:top style="medium">
        <x:color rgb="FF8AA557"/>
      </x:top>
    </x:border>
    <x:border>
      <x:left style="medium">
        <x:color rgb="FF8AA557"/>
      </x:left>
      <x:bottom style="medium">
        <x:color rgb="FF8AA557"/>
      </x:bottom>
    </x:border>
    <x:border>
      <x:bottom style="medium">
        <x:color rgb="FF8AA557"/>
      </x:bottom>
    </x:border>
    <x:border>
      <x:right style="medium">
        <x:color rgb="FF8AA557"/>
      </x:right>
      <x:bottom style="medium">
        <x:color rgb="FF8AA557"/>
      </x:bottom>
    </x:border>
    <x:border>
      <x:left style="medium">
        <x:color rgb="FFC69A62"/>
      </x:left>
      <x:top style="medium">
        <x:color rgb="FFC69A62"/>
      </x:top>
    </x:border>
    <x:border>
      <x:top style="medium">
        <x:color rgb="FFC69A62"/>
      </x:top>
    </x:border>
    <x:border>
      <x:right style="medium">
        <x:color rgb="FFC69A62"/>
      </x:right>
      <x:top style="medium">
        <x:color rgb="FFC69A62"/>
      </x:top>
    </x:border>
    <x:border>
      <x:left style="medium">
        <x:color rgb="FFC69A62"/>
      </x:left>
      <x:bottom style="medium">
        <x:color rgb="FFC69A62"/>
      </x:bottom>
    </x:border>
    <x:border>
      <x:bottom style="medium">
        <x:color rgb="FFC69A62"/>
      </x:bottom>
    </x:border>
    <x:border>
      <x:right style="medium">
        <x:color rgb="FFC69A62"/>
      </x:right>
      <x:bottom style="medium">
        <x:color rgb="FFC69A62"/>
      </x:bottom>
    </x:border>
  </x:borders>
  <x:cellStyleXfs count="1">
    <x:xf numFmtId="0" fontId="0" fillId="0" borderId="0"/>
  </x:cellStyleXfs>
  <x:cellXfs count="1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horizontal="right" vertical="center" wrapText="0"/>
    </x:xf>
    <x:xf numFmtId="200" fontId="0" fillId="0" borderId="0" xfId="0" applyNumberFormat="1" applyFont="1" applyFill="1" applyBorder="1" applyAlignment="1">
      <x:alignment horizontal="right" vertical="center" wrapText="0"/>
    </x:xf>
    <x:xf numFmtId="201" fontId="0" fillId="0" borderId="0" xfId="0" applyNumberFormat="1" applyFont="1" applyFill="1" applyBorder="1" applyAlignment="1">
      <x:alignment horizontal="right" vertical="center" wrapText="0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/>
    </x:xf>
    <x:xf numFmtId="202" fontId="0" fillId="0" borderId="5" xfId="0" applyNumberFormat="1" applyFont="1" applyFill="1" applyBorder="1"/>
    <x:xf numFmtId="203" fontId="0" fillId="0" borderId="8" xfId="0" applyNumberFormat="1" applyFont="1" applyFill="1" applyBorder="1"/>
    <x:xf numFmtId="0" fontId="5" fillId="0" borderId="4" xfId="0" applyNumberFormat="1" applyFont="1" applyFill="1" applyBorder="1"/>
    <x:xf numFmtId="0" fontId="5" fillId="0" borderId="7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horizontal="center"/>
    </x:xf>
    <x:xf numFmtId="0" fontId="2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10" xfId="0" applyNumberFormat="1" applyFont="1" applyFill="1" applyBorder="1"/>
    <x:xf numFmtId="0" fontId="7" fillId="9" borderId="11" xfId="0" applyNumberFormat="1" applyFont="1" applyFill="1" applyBorder="1"/>
    <x:xf numFmtId="0" fontId="7" fillId="9" borderId="12" xfId="0" applyNumberFormat="1" applyFont="1" applyFill="1" applyBorder="1"/>
    <x:xf numFmtId="0" fontId="7" fillId="9" borderId="13" xfId="0" applyNumberFormat="1" applyFont="1" applyFill="1" applyBorder="1"/>
    <x:xf numFmtId="0" fontId="7" fillId="9" borderId="14" xfId="0" applyNumberFormat="1" applyFont="1" applyFill="1" applyBorder="1"/>
    <x:xf numFmtId="0" fontId="7" fillId="9" borderId="15" xfId="0" applyNumberFormat="1" applyFont="1" applyFill="1" applyBorder="1"/>
    <x:xf numFmtId="0" fontId="7" fillId="9" borderId="10" xfId="0" applyNumberFormat="1" applyFont="1" applyFill="1" applyBorder="1" applyAlignment="1">
      <x:alignment wrapText="1"/>
    </x:xf>
    <x:xf numFmtId="0" fontId="7" fillId="9" borderId="11" xfId="0" applyNumberFormat="1" applyFont="1" applyFill="1" applyBorder="1" applyAlignment="1">
      <x:alignment wrapText="1"/>
    </x:xf>
    <x:xf numFmtId="0" fontId="7" fillId="9" borderId="12" xfId="0" applyNumberFormat="1" applyFont="1" applyFill="1" applyBorder="1" applyAlignment="1">
      <x:alignment wrapText="1"/>
    </x:xf>
    <x:xf numFmtId="0" fontId="7" fillId="9" borderId="13" xfId="0" applyNumberFormat="1" applyFont="1" applyFill="1" applyBorder="1" applyAlignment="1">
      <x:alignment wrapText="1"/>
    </x:xf>
    <x:xf numFmtId="0" fontId="7" fillId="9" borderId="14" xfId="0" applyNumberFormat="1" applyFont="1" applyFill="1" applyBorder="1" applyAlignment="1">
      <x:alignment wrapText="1"/>
    </x:xf>
    <x:xf numFmtId="0" fontId="7" fillId="9" borderId="15" xfId="0" applyNumberFormat="1" applyFont="1" applyFill="1" applyBorder="1" applyAlignment="1">
      <x:alignment wrapText="1"/>
    </x:xf>
    <x:xf numFmtId="0" fontId="7" fillId="9" borderId="10" xfId="0" applyNumberFormat="1" applyFont="1" applyFill="1" applyBorder="1" applyAlignment="1">
      <x:alignment horizontal="center" wrapText="1"/>
    </x:xf>
    <x:xf numFmtId="0" fontId="7" fillId="9" borderId="11" xfId="0" applyNumberFormat="1" applyFont="1" applyFill="1" applyBorder="1" applyAlignment="1">
      <x:alignment horizontal="center" wrapText="1"/>
    </x:xf>
    <x:xf numFmtId="0" fontId="7" fillId="9" borderId="12" xfId="0" applyNumberFormat="1" applyFont="1" applyFill="1" applyBorder="1" applyAlignment="1">
      <x:alignment horizontal="center" wrapText="1"/>
    </x:xf>
    <x:xf numFmtId="0" fontId="7" fillId="9" borderId="13" xfId="0" applyNumberFormat="1" applyFont="1" applyFill="1" applyBorder="1" applyAlignment="1">
      <x:alignment horizontal="center" wrapText="1"/>
    </x:xf>
    <x:xf numFmtId="0" fontId="7" fillId="9" borderId="14" xfId="0" applyNumberFormat="1" applyFont="1" applyFill="1" applyBorder="1" applyAlignment="1">
      <x:alignment horizontal="center" wrapText="1"/>
    </x:xf>
    <x:xf numFmtId="0" fontId="7" fillId="9" borderId="15" xfId="0" applyNumberFormat="1" applyFont="1" applyFill="1" applyBorder="1" applyAlignment="1">
      <x:alignment horizontal="center" wrapText="1"/>
    </x:xf>
    <x:xf numFmtId="0" fontId="7" fillId="9" borderId="10" xfId="0" applyNumberFormat="1" applyFont="1" applyFill="1" applyBorder="1" applyAlignment="1">
      <x:alignment horizontal="center" vertical="center" wrapText="1"/>
    </x:xf>
    <x:xf numFmtId="0" fontId="7" fillId="9" borderId="11" xfId="0" applyNumberFormat="1" applyFont="1" applyFill="1" applyBorder="1" applyAlignment="1">
      <x:alignment horizontal="center" vertical="center" wrapText="1"/>
    </x:xf>
    <x:xf numFmtId="0" fontId="7" fillId="9" borderId="12" xfId="0" applyNumberFormat="1" applyFont="1" applyFill="1" applyBorder="1" applyAlignment="1">
      <x:alignment horizontal="center" vertical="center" wrapText="1"/>
    </x:xf>
    <x:xf numFmtId="0" fontId="7" fillId="9" borderId="13" xfId="0" applyNumberFormat="1" applyFont="1" applyFill="1" applyBorder="1" applyAlignment="1">
      <x:alignment horizontal="center" vertical="center" wrapText="1"/>
    </x:xf>
    <x:xf numFmtId="0" fontId="7" fillId="9" borderId="14" xfId="0" applyNumberFormat="1" applyFont="1" applyFill="1" applyBorder="1" applyAlignment="1">
      <x:alignment horizontal="center" vertical="center" wrapText="1"/>
    </x:xf>
    <x:xf numFmtId="0" fontId="7" fillId="9" borderId="15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6" fillId="10" borderId="0" xfId="0" applyNumberFormat="1" applyFont="1" applyFill="1" applyBorder="1"/>
    <x:xf numFmtId="0" fontId="6" fillId="10" borderId="0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16" xfId="0" applyNumberFormat="1" applyFont="1" applyFill="1" applyBorder="1"/>
    <x:xf numFmtId="0" fontId="8" fillId="11" borderId="17" xfId="0" applyNumberFormat="1" applyFont="1" applyFill="1" applyBorder="1"/>
    <x:xf numFmtId="0" fontId="8" fillId="11" borderId="18" xfId="0" applyNumberFormat="1" applyFont="1" applyFill="1" applyBorder="1"/>
    <x:xf numFmtId="0" fontId="8" fillId="11" borderId="19" xfId="0" applyNumberFormat="1" applyFont="1" applyFill="1" applyBorder="1"/>
    <x:xf numFmtId="0" fontId="8" fillId="11" borderId="20" xfId="0" applyNumberFormat="1" applyFont="1" applyFill="1" applyBorder="1"/>
    <x:xf numFmtId="0" fontId="8" fillId="11" borderId="21" xfId="0" applyNumberFormat="1" applyFont="1" applyFill="1" applyBorder="1"/>
    <x:xf numFmtId="0" fontId="8" fillId="11" borderId="16" xfId="0" applyNumberFormat="1" applyFont="1" applyFill="1" applyBorder="1" applyAlignment="1">
      <x:alignment wrapText="1"/>
    </x:xf>
    <x:xf numFmtId="0" fontId="8" fillId="11" borderId="17" xfId="0" applyNumberFormat="1" applyFont="1" applyFill="1" applyBorder="1" applyAlignment="1">
      <x:alignment wrapText="1"/>
    </x:xf>
    <x:xf numFmtId="0" fontId="8" fillId="11" borderId="18" xfId="0" applyNumberFormat="1" applyFont="1" applyFill="1" applyBorder="1" applyAlignment="1">
      <x:alignment wrapText="1"/>
    </x:xf>
    <x:xf numFmtId="0" fontId="8" fillId="11" borderId="19" xfId="0" applyNumberFormat="1" applyFont="1" applyFill="1" applyBorder="1" applyAlignment="1">
      <x:alignment wrapText="1"/>
    </x:xf>
    <x:xf numFmtId="0" fontId="8" fillId="11" borderId="20" xfId="0" applyNumberFormat="1" applyFont="1" applyFill="1" applyBorder="1" applyAlignment="1">
      <x:alignment wrapText="1"/>
    </x:xf>
    <x:xf numFmtId="0" fontId="8" fillId="11" borderId="21" xfId="0" applyNumberFormat="1" applyFont="1" applyFill="1" applyBorder="1" applyAlignment="1">
      <x:alignment wrapText="1"/>
    </x:xf>
    <x:xf numFmtId="0" fontId="8" fillId="11" borderId="16" xfId="0" applyNumberFormat="1" applyFont="1" applyFill="1" applyBorder="1" applyAlignment="1">
      <x:alignment horizontal="center" wrapText="1"/>
    </x:xf>
    <x:xf numFmtId="0" fontId="8" fillId="11" borderId="17" xfId="0" applyNumberFormat="1" applyFont="1" applyFill="1" applyBorder="1" applyAlignment="1">
      <x:alignment horizontal="center" wrapText="1"/>
    </x:xf>
    <x:xf numFmtId="0" fontId="8" fillId="11" borderId="18" xfId="0" applyNumberFormat="1" applyFont="1" applyFill="1" applyBorder="1" applyAlignment="1">
      <x:alignment horizontal="center" wrapText="1"/>
    </x:xf>
    <x:xf numFmtId="0" fontId="8" fillId="11" borderId="19" xfId="0" applyNumberFormat="1" applyFont="1" applyFill="1" applyBorder="1" applyAlignment="1">
      <x:alignment horizontal="center" wrapText="1"/>
    </x:xf>
    <x:xf numFmtId="0" fontId="8" fillId="11" borderId="20" xfId="0" applyNumberFormat="1" applyFont="1" applyFill="1" applyBorder="1" applyAlignment="1">
      <x:alignment horizontal="center" wrapText="1"/>
    </x:xf>
    <x:xf numFmtId="0" fontId="8" fillId="11" borderId="21" xfId="0" applyNumberFormat="1" applyFont="1" applyFill="1" applyBorder="1" applyAlignment="1">
      <x:alignment horizontal="center" wrapText="1"/>
    </x:xf>
    <x:xf numFmtId="0" fontId="8" fillId="11" borderId="16" xfId="0" applyNumberFormat="1" applyFont="1" applyFill="1" applyBorder="1" applyAlignment="1">
      <x:alignment horizontal="center" vertical="center" wrapText="1"/>
    </x:xf>
    <x:xf numFmtId="0" fontId="8" fillId="11" borderId="17" xfId="0" applyNumberFormat="1" applyFont="1" applyFill="1" applyBorder="1" applyAlignment="1">
      <x:alignment horizontal="center" vertical="center" wrapText="1"/>
    </x:xf>
    <x:xf numFmtId="0" fontId="8" fillId="11" borderId="18" xfId="0" applyNumberFormat="1" applyFont="1" applyFill="1" applyBorder="1" applyAlignment="1">
      <x:alignment horizontal="center" vertical="center" wrapText="1"/>
    </x:xf>
    <x:xf numFmtId="0" fontId="8" fillId="11" borderId="19" xfId="0" applyNumberFormat="1" applyFont="1" applyFill="1" applyBorder="1" applyAlignment="1">
      <x:alignment horizontal="center" vertical="center" wrapText="1"/>
    </x:xf>
    <x:xf numFmtId="0" fontId="8" fillId="11" borderId="20" xfId="0" applyNumberFormat="1" applyFont="1" applyFill="1" applyBorder="1" applyAlignment="1">
      <x:alignment horizontal="center" vertical="center" wrapText="1"/>
    </x:xf>
    <x:xf numFmtId="0" fontId="8" fillId="11" borderId="21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9" fillId="12" borderId="0" xfId="0" applyNumberFormat="1" applyFont="1" applyFill="1" applyBorder="1"/>
    <x:xf numFmtId="0" fontId="9" fillId="12" borderId="0" xfId="0" applyNumberFormat="1" applyFont="1" applyFill="1" applyBorder="1" applyAlignment="1">
      <x:alignment horizontal="left"/>
    </x:xf>
    <x:xf numFmtId="0" fontId="9" fillId="12" borderId="0" xfId="0" applyNumberFormat="1" applyFont="1" applyFill="1" applyBorder="1" applyAlignment="1">
      <x:alignment horizontal="left" vertical="center"/>
    </x:xf>
    <x:xf numFmtId="204" fontId="0" fillId="0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6321827e7c4c9f" /><Relationship Type="http://schemas.openxmlformats.org/officeDocument/2006/relationships/theme" Target="/xl/theme/theme1.xml" Id="R8e48a1d5f67849e6" /><Relationship Type="http://schemas.openxmlformats.org/officeDocument/2006/relationships/sharedStrings" Target="/xl/sharedStrings.xml" Id="R308d608acbed4c3e" /><Relationship Type="http://schemas.openxmlformats.org/officeDocument/2006/relationships/worksheet" Target="/xl/worksheets/sheet1.xml" Id="R5a1ea9be07c14d10" /><Relationship Type="http://schemas.openxmlformats.org/officeDocument/2006/relationships/worksheet" Target="/xl/worksheets/sheet2.xml" Id="R0196de02ab1d47c3" /><Relationship Type="http://schemas.openxmlformats.org/officeDocument/2006/relationships/worksheet" Target="/xl/worksheets/sheet3.xml" Id="R7e5690980548443d" /></Relationships>
</file>

<file path=xl/tables/table1.xml><?xml version="1.0" encoding="utf-8"?>
<x:table xmlns:x="http://schemas.openxmlformats.org/spreadsheetml/2006/main" id="1" name="PrototypeRecipes" displayName="PrototypeRecipes" ref="A4:N55" headerRowCount="1" totalsRowCount="0" totalsRowShown="0">
  <x:autoFilter ref="A4:N55"/>
  <x:tableColumns count="14">
    <x:tableColumn id="1" name="순서"/>
    <x:tableColumn id="2" name="레시피 ID"/>
    <x:tableColumn id="3" name="요리명"/>
    <x:tableColumn id="4" name="재료 수"/>
    <x:tableColumn id="5" name="재료 1"/>
    <x:tableColumn id="6" name="재료 2"/>
    <x:tableColumn id="7" name="재료 3"/>
    <x:tableColumn id="8" name="재료 4"/>
    <x:tableColumn id="9" name="재료 5"/>
    <x:tableColumn id="10" name="조합"/>
    <x:tableColumn id="11" name="기본 판매가(원)"/>
    <x:tableColumn id="12" name="기본 조리시간(초)"/>
    <x:tableColumn id="13" name="Lv.2 판매가(원)"/>
    <x:tableColumn id="14" name="아이콘 기준 ID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IngredientUsageAnalysis" displayName="IngredientUsageAnalysis" ref="A10:F51" headerRowCount="1" totalsRowCount="0" totalsRowShown="0">
  <x:autoFilter ref="A10:F51"/>
  <x:tableColumns count="6">
    <x:tableColumn id="1" name="순위"/>
    <x:tableColumn id="2" name="재료"/>
    <x:tableColumn id="3" name="사용 레시피 수"/>
    <x:tableColumn id="4" name="총 투입 슬롯"/>
    <x:tableColumn id="5" name="레시피 사용률"/>
    <x:tableColumn id="6" name="사용 레시피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746bcb598b944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e0feeb3ff074ad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0" hidden="0" customWidth="1"/>
    <x:col min="3" max="3" width="24" hidden="0" customWidth="1"/>
    <x:col min="4" max="4" width="8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44" hidden="0" customWidth="1"/>
    <x:col min="11" max="11" width="15" hidden="0" customWidth="1"/>
    <x:col min="12" max="12" width="17" hidden="0" customWidth="1"/>
    <x:col min="13" max="13" width="15" hidden="0" customWidth="1"/>
    <x:col min="14" max="14" width="13" hidden="0" customWidth="1"/>
  </x:cols>
  <x:sheetData>
    <x:row r="1" ht="34" customHeight="1">
      <x:c r="A1" s="4" t="str">
        <x:v>프로토타입 레시피 리스트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2" customHeight="1">
      <x:c r="A2" s="8" t="str">
        <x:v>현재 프로토타입 적용 기준 · 총 51종 · 2026-08-27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4">
      <x:c r="A4" s="14" t="str">
        <x:v>순서</x:v>
      </x:c>
      <x:c r="B4" s="14" t="str">
        <x:v>레시피 ID</x:v>
      </x:c>
      <x:c r="C4" s="14" t="str">
        <x:v>요리명</x:v>
      </x:c>
      <x:c r="D4" s="14" t="str">
        <x:v>재료 수</x:v>
      </x:c>
      <x:c r="E4" s="14" t="str">
        <x:v>재료 1</x:v>
      </x:c>
      <x:c r="F4" s="14" t="str">
        <x:v>재료 2</x:v>
      </x:c>
      <x:c r="G4" s="14" t="str">
        <x:v>재료 3</x:v>
      </x:c>
      <x:c r="H4" s="14" t="str">
        <x:v>재료 4</x:v>
      </x:c>
      <x:c r="I4" s="14" t="str">
        <x:v>재료 5</x:v>
      </x:c>
      <x:c r="J4" s="14" t="str">
        <x:v>조합</x:v>
      </x:c>
      <x:c r="K4" s="14" t="str">
        <x:v>기본 판매가(원)</x:v>
      </x:c>
      <x:c r="L4" s="14" t="str">
        <x:v>기본 조리시간(초)</x:v>
      </x:c>
      <x:c r="M4" s="14" t="str">
        <x:v>Lv.2 판매가(원)</x:v>
      </x:c>
      <x:c r="N4" s="14" t="str">
        <x:v>아이콘 기준 ID</x:v>
      </x:c>
    </x:row>
    <x:row r="5" ht="21" customHeight="1">
      <x:c r="A5" s="15" t="n">
        <x:v>1</x:v>
      </x:c>
      <x:c r="B5" s="15" t="n">
        <x:v>1</x:v>
      </x:c>
      <x:c r="C5" s="14" t="str">
        <x:v>삶은 병아리콩</x:v>
      </x:c>
      <x:c r="D5" s="15" t="n">
        <x:v>2</x:v>
      </x:c>
      <x:c r="E5" s="15" t="str">
        <x:v>물</x:v>
      </x:c>
      <x:c r="F5" s="15" t="str">
        <x:v>병아리콩</x:v>
      </x:c>
      <x:c r="G5" s="15" t="str"/>
      <x:c r="H5" s="15" t="str"/>
      <x:c r="I5" s="15" t="str"/>
      <x:c r="J5" s="14" t="str">
        <x:v>물 + 병아리콩</x:v>
      </x:c>
      <x:c r="K5" s="17" t="n">
        <x:v>35</x:v>
      </x:c>
      <x:c r="L5" s="18" t="n">
        <x:f>MAX('설정'!$B$6,MIN('설정'!$B$7,ROUND((K5/'설정'!$B$5+'설정'!$B$4)/'설정'!$B$8,0)*'설정'!$B$8))</x:f>
        <x:v>4</x:v>
      </x:c>
      <x:c r="M5" s="17" t="n">
        <x:f>ROUND(K5*(1+'설정'!$B$9),0)</x:f>
        <x:v>39</x:v>
      </x:c>
      <x:c r="N5" s="16" t="n">
        <x:v>4</x:v>
      </x:c>
    </x:row>
    <x:row r="6" ht="21" customHeight="1">
      <x:c r="A6" s="15" t="n">
        <x:v>2</x:v>
      </x:c>
      <x:c r="B6" s="15" t="n">
        <x:v>2</x:v>
      </x:c>
      <x:c r="C6" s="14" t="str">
        <x:v>병아리콩 가득</x:v>
      </x:c>
      <x:c r="D6" s="15" t="n">
        <x:v>3</x:v>
      </x:c>
      <x:c r="E6" s="15" t="str">
        <x:v>병아리콩</x:v>
      </x:c>
      <x:c r="F6" s="15" t="str">
        <x:v>병아리콩</x:v>
      </x:c>
      <x:c r="G6" s="15" t="str">
        <x:v>병아리콩</x:v>
      </x:c>
      <x:c r="H6" s="15" t="str"/>
      <x:c r="I6" s="15" t="str"/>
      <x:c r="J6" s="14" t="str">
        <x:v>병아리콩 + 병아리콩 + 병아리콩</x:v>
      </x:c>
      <x:c r="K6" s="17" t="n">
        <x:v>65</x:v>
      </x:c>
      <x:c r="L6" s="18" t="n">
        <x:f>MAX('설정'!$B$6,MIN('설정'!$B$7,ROUND((K6/'설정'!$B$5+'설정'!$B$4)/'설정'!$B$8,0)*'설정'!$B$8))</x:f>
        <x:v>5.5</x:v>
      </x:c>
      <x:c r="M6" s="17" t="n">
        <x:f>ROUND(K6*(1+'설정'!$B$9),0)</x:f>
        <x:v>72</x:v>
      </x:c>
      <x:c r="N6" s="16" t="n">
        <x:v>4</x:v>
      </x:c>
    </x:row>
    <x:row r="7" ht="21" customHeight="1">
      <x:c r="A7" s="15" t="n">
        <x:v>3</x:v>
      </x:c>
      <x:c r="B7" s="15" t="n">
        <x:v>3</x:v>
      </x:c>
      <x:c r="C7" s="14" t="str">
        <x:v>삶은 고기</x:v>
      </x:c>
      <x:c r="D7" s="15" t="n">
        <x:v>2</x:v>
      </x:c>
      <x:c r="E7" s="15" t="str">
        <x:v>물</x:v>
      </x:c>
      <x:c r="F7" s="15" t="str">
        <x:v>고기</x:v>
      </x:c>
      <x:c r="G7" s="15" t="str"/>
      <x:c r="H7" s="15" t="str"/>
      <x:c r="I7" s="15" t="str"/>
      <x:c r="J7" s="14" t="str">
        <x:v>물 + 고기</x:v>
      </x:c>
      <x:c r="K7" s="17" t="n">
        <x:v>50</x:v>
      </x:c>
      <x:c r="L7" s="18" t="n">
        <x:f>MAX('설정'!$B$6,MIN('설정'!$B$7,ROUND((K7/'설정'!$B$5+'설정'!$B$4)/'설정'!$B$8,0)*'설정'!$B$8))</x:f>
        <x:v>4.5</x:v>
      </x:c>
      <x:c r="M7" s="17" t="n">
        <x:f>ROUND(K7*(1+'설정'!$B$9),0)</x:f>
        <x:v>55</x:v>
      </x:c>
      <x:c r="N7" s="16" t="n">
        <x:v>4</x:v>
      </x:c>
    </x:row>
    <x:row r="8" ht="21" customHeight="1">
      <x:c r="A8" s="15" t="n">
        <x:v>4</x:v>
      </x:c>
      <x:c r="B8" s="15" t="n">
        <x:v>4</x:v>
      </x:c>
      <x:c r="C8" s="14" t="str">
        <x:v>병아리콩 팬케이크</x:v>
      </x:c>
      <x:c r="D8" s="15" t="n">
        <x:v>2</x:v>
      </x:c>
      <x:c r="E8" s="15" t="str">
        <x:v>병아리콩</x:v>
      </x:c>
      <x:c r="F8" s="15" t="str">
        <x:v>밀가루</x:v>
      </x:c>
      <x:c r="G8" s="15" t="str"/>
      <x:c r="H8" s="15" t="str"/>
      <x:c r="I8" s="15" t="str"/>
      <x:c r="J8" s="14" t="str">
        <x:v>병아리콩 + 밀가루</x:v>
      </x:c>
      <x:c r="K8" s="17" t="n">
        <x:v>45</x:v>
      </x:c>
      <x:c r="L8" s="18" t="n">
        <x:f>MAX('설정'!$B$6,MIN('설정'!$B$7,ROUND((K8/'설정'!$B$5+'설정'!$B$4)/'설정'!$B$8,0)*'설정'!$B$8))</x:f>
        <x:v>4.5</x:v>
      </x:c>
      <x:c r="M8" s="17" t="n">
        <x:f>ROUND(K8*(1+'설정'!$B$9),0)</x:f>
        <x:v>50</x:v>
      </x:c>
      <x:c r="N8" s="16" t="n">
        <x:v>36</x:v>
      </x:c>
    </x:row>
    <x:row r="9" ht="21" customHeight="1">
      <x:c r="A9" s="15" t="n">
        <x:v>5</x:v>
      </x:c>
      <x:c r="B9" s="15" t="n">
        <x:v>5</x:v>
      </x:c>
      <x:c r="C9" s="14" t="str">
        <x:v>육전</x:v>
      </x:c>
      <x:c r="D9" s="15" t="n">
        <x:v>2</x:v>
      </x:c>
      <x:c r="E9" s="15" t="str">
        <x:v>밀가루</x:v>
      </x:c>
      <x:c r="F9" s="15" t="str">
        <x:v>고기</x:v>
      </x:c>
      <x:c r="G9" s="15" t="str"/>
      <x:c r="H9" s="15" t="str"/>
      <x:c r="I9" s="15" t="str"/>
      <x:c r="J9" s="14" t="str">
        <x:v>밀가루 + 고기</x:v>
      </x:c>
      <x:c r="K9" s="17" t="n">
        <x:v>45</x:v>
      </x:c>
      <x:c r="L9" s="18" t="n">
        <x:f>MAX('설정'!$B$6,MIN('설정'!$B$7,ROUND((K9/'설정'!$B$5+'설정'!$B$4)/'설정'!$B$8,0)*'설정'!$B$8))</x:f>
        <x:v>4.5</x:v>
      </x:c>
      <x:c r="M9" s="17" t="n">
        <x:f>ROUND(K9*(1+'설정'!$B$9),0)</x:f>
        <x:v>50</x:v>
      </x:c>
      <x:c r="N9" s="16" t="n">
        <x:v>36</x:v>
      </x:c>
    </x:row>
    <x:row r="10" ht="21" customHeight="1">
      <x:c r="A10" s="15" t="n">
        <x:v>6</x:v>
      </x:c>
      <x:c r="B10" s="15" t="n">
        <x:v>6</x:v>
      </x:c>
      <x:c r="C10" s="14" t="str">
        <x:v>고기쌈</x:v>
      </x:c>
      <x:c r="D10" s="15" t="n">
        <x:v>2</x:v>
      </x:c>
      <x:c r="E10" s="15" t="str">
        <x:v>고기</x:v>
      </x:c>
      <x:c r="F10" s="15" t="str">
        <x:v>나뭇잎</x:v>
      </x:c>
      <x:c r="G10" s="15" t="str"/>
      <x:c r="H10" s="15" t="str"/>
      <x:c r="I10" s="15" t="str"/>
      <x:c r="J10" s="14" t="str">
        <x:v>고기 + 나뭇잎</x:v>
      </x:c>
      <x:c r="K10" s="17" t="n">
        <x:v>65</x:v>
      </x:c>
      <x:c r="L10" s="18" t="n">
        <x:f>MAX('설정'!$B$6,MIN('설정'!$B$7,ROUND((K10/'설정'!$B$5+'설정'!$B$4)/'설정'!$B$8,0)*'설정'!$B$8))</x:f>
        <x:v>5.5</x:v>
      </x:c>
      <x:c r="M10" s="17" t="n">
        <x:f>ROUND(K10*(1+'설정'!$B$9),0)</x:f>
        <x:v>72</x:v>
      </x:c>
      <x:c r="N10" s="16" t="n">
        <x:v>19</x:v>
      </x:c>
    </x:row>
    <x:row r="11" ht="21" customHeight="1">
      <x:c r="A11" s="15" t="n">
        <x:v>7</x:v>
      </x:c>
      <x:c r="B11" s="15" t="n">
        <x:v>7</x:v>
      </x:c>
      <x:c r="C11" s="14" t="str">
        <x:v>도토리묵</x:v>
      </x:c>
      <x:c r="D11" s="15" t="n">
        <x:v>2</x:v>
      </x:c>
      <x:c r="E11" s="15" t="str">
        <x:v>물</x:v>
      </x:c>
      <x:c r="F11" s="15" t="str">
        <x:v>도토리</x:v>
      </x:c>
      <x:c r="G11" s="15" t="str"/>
      <x:c r="H11" s="15" t="str"/>
      <x:c r="I11" s="15" t="str"/>
      <x:c r="J11" s="14" t="str">
        <x:v>물 + 도토리</x:v>
      </x:c>
      <x:c r="K11" s="17" t="n">
        <x:v>65</x:v>
      </x:c>
      <x:c r="L11" s="18" t="n">
        <x:f>MAX('설정'!$B$6,MIN('설정'!$B$7,ROUND((K11/'설정'!$B$5+'설정'!$B$4)/'설정'!$B$8,0)*'설정'!$B$8))</x:f>
        <x:v>5.5</x:v>
      </x:c>
      <x:c r="M11" s="17" t="n">
        <x:f>ROUND(K11*(1+'설정'!$B$9),0)</x:f>
        <x:v>72</x:v>
      </x:c>
      <x:c r="N11" s="16" t="n">
        <x:v>32</x:v>
      </x:c>
    </x:row>
    <x:row r="12" ht="21" customHeight="1">
      <x:c r="A12" s="15" t="n">
        <x:v>8</x:v>
      </x:c>
      <x:c r="B12" s="15" t="n">
        <x:v>8</x:v>
      </x:c>
      <x:c r="C12" s="14" t="str">
        <x:v>상큼 나뭇잎 샐러드</x:v>
      </x:c>
      <x:c r="D12" s="15" t="n">
        <x:v>3</x:v>
      </x:c>
      <x:c r="E12" s="15" t="str">
        <x:v>열매</x:v>
      </x:c>
      <x:c r="F12" s="15" t="str">
        <x:v>나뭇잎</x:v>
      </x:c>
      <x:c r="G12" s="15" t="str">
        <x:v>도토리</x:v>
      </x:c>
      <x:c r="H12" s="15" t="str"/>
      <x:c r="I12" s="15" t="str"/>
      <x:c r="J12" s="14" t="str">
        <x:v>열매 + 나뭇잎 + 도토리</x:v>
      </x:c>
      <x:c r="K12" s="17" t="n">
        <x:v>80</x:v>
      </x:c>
      <x:c r="L12" s="18" t="n">
        <x:f>MAX('설정'!$B$6,MIN('설정'!$B$7,ROUND((K12/'설정'!$B$5+'설정'!$B$4)/'설정'!$B$8,0)*'설정'!$B$8))</x:f>
        <x:v>6</x:v>
      </x:c>
      <x:c r="M12" s="17" t="n">
        <x:f>ROUND(K12*(1+'설정'!$B$9),0)</x:f>
        <x:v>88</x:v>
      </x:c>
      <x:c r="N12" s="16" t="n">
        <x:v>1</x:v>
      </x:c>
    </x:row>
    <x:row r="13" ht="21" customHeight="1">
      <x:c r="A13" s="15" t="n">
        <x:v>9</x:v>
      </x:c>
      <x:c r="B13" s="15" t="n">
        <x:v>9</x:v>
      </x:c>
      <x:c r="C13" s="14" t="str">
        <x:v>열매꼬치구이</x:v>
      </x:c>
      <x:c r="D13" s="15" t="n">
        <x:v>2</x:v>
      </x:c>
      <x:c r="E13" s="15" t="str">
        <x:v>열매</x:v>
      </x:c>
      <x:c r="F13" s="15" t="str">
        <x:v>고기</x:v>
      </x:c>
      <x:c r="G13" s="15" t="str"/>
      <x:c r="H13" s="15" t="str"/>
      <x:c r="I13" s="15" t="str"/>
      <x:c r="J13" s="14" t="str">
        <x:v>열매 + 고기</x:v>
      </x:c>
      <x:c r="K13" s="17" t="n">
        <x:v>65</x:v>
      </x:c>
      <x:c r="L13" s="18" t="n">
        <x:f>MAX('설정'!$B$6,MIN('설정'!$B$7,ROUND((K13/'설정'!$B$5+'설정'!$B$4)/'설정'!$B$8,0)*'설정'!$B$8))</x:f>
        <x:v>5.5</x:v>
      </x:c>
      <x:c r="M13" s="17" t="n">
        <x:f>ROUND(K13*(1+'설정'!$B$9),0)</x:f>
        <x:v>72</x:v>
      </x:c>
      <x:c r="N13" s="16" t="n">
        <x:v>5</x:v>
      </x:c>
    </x:row>
    <x:row r="14" ht="21" customHeight="1">
      <x:c r="A14" s="15" t="n">
        <x:v>10</x:v>
      </x:c>
      <x:c r="B14" s="15" t="n">
        <x:v>10</x:v>
      </x:c>
      <x:c r="C14" s="14" t="str">
        <x:v>벌레 파이</x:v>
      </x:c>
      <x:c r="D14" s="15" t="n">
        <x:v>2</x:v>
      </x:c>
      <x:c r="E14" s="15" t="str">
        <x:v>벌레</x:v>
      </x:c>
      <x:c r="F14" s="15" t="str">
        <x:v>밀가루</x:v>
      </x:c>
      <x:c r="G14" s="15" t="str"/>
      <x:c r="H14" s="15" t="str"/>
      <x:c r="I14" s="15" t="str"/>
      <x:c r="J14" s="14" t="str">
        <x:v>벌레 + 밀가루</x:v>
      </x:c>
      <x:c r="K14" s="17" t="n">
        <x:v>65</x:v>
      </x:c>
      <x:c r="L14" s="18" t="n">
        <x:f>MAX('설정'!$B$6,MIN('설정'!$B$7,ROUND((K14/'설정'!$B$5+'설정'!$B$4)/'설정'!$B$8,0)*'설정'!$B$8))</x:f>
        <x:v>5.5</x:v>
      </x:c>
      <x:c r="M14" s="17" t="n">
        <x:f>ROUND(K14*(1+'설정'!$B$9),0)</x:f>
        <x:v>72</x:v>
      </x:c>
      <x:c r="N14" s="16" t="n">
        <x:v>29</x:v>
      </x:c>
    </x:row>
    <x:row r="15" ht="21" customHeight="1">
      <x:c r="A15" s="15" t="n">
        <x:v>11</x:v>
      </x:c>
      <x:c r="B15" s="15" t="n">
        <x:v>11</x:v>
      </x:c>
      <x:c r="C15" s="14" t="str">
        <x:v>고단백 식품</x:v>
      </x:c>
      <x:c r="D15" s="15" t="n">
        <x:v>2</x:v>
      </x:c>
      <x:c r="E15" s="15" t="str">
        <x:v>벌레</x:v>
      </x:c>
      <x:c r="F15" s="15" t="str">
        <x:v>고기</x:v>
      </x:c>
      <x:c r="G15" s="15" t="str"/>
      <x:c r="H15" s="15" t="str"/>
      <x:c r="I15" s="15" t="str"/>
      <x:c r="J15" s="14" t="str">
        <x:v>벌레 + 고기</x:v>
      </x:c>
      <x:c r="K15" s="17" t="n">
        <x:v>65</x:v>
      </x:c>
      <x:c r="L15" s="18" t="n">
        <x:f>MAX('설정'!$B$6,MIN('설정'!$B$7,ROUND((K15/'설정'!$B$5+'설정'!$B$4)/'설정'!$B$8,0)*'설정'!$B$8))</x:f>
        <x:v>5.5</x:v>
      </x:c>
      <x:c r="M15" s="17" t="n">
        <x:f>ROUND(K15*(1+'설정'!$B$9),0)</x:f>
        <x:v>72</x:v>
      </x:c>
      <x:c r="N15" s="16" t="n">
        <x:v>20</x:v>
      </x:c>
    </x:row>
    <x:row r="16" ht="21" customHeight="1">
      <x:c r="A16" s="15" t="n">
        <x:v>12</x:v>
      </x:c>
      <x:c r="B16" s="15" t="n">
        <x:v>12</x:v>
      </x:c>
      <x:c r="C16" s="14" t="str">
        <x:v>벌레먹은 나뭇잎</x:v>
      </x:c>
      <x:c r="D16" s="15" t="n">
        <x:v>2</x:v>
      </x:c>
      <x:c r="E16" s="15" t="str">
        <x:v>나뭇잎</x:v>
      </x:c>
      <x:c r="F16" s="15" t="str">
        <x:v>벌레</x:v>
      </x:c>
      <x:c r="G16" s="15" t="str"/>
      <x:c r="H16" s="15" t="str"/>
      <x:c r="I16" s="15" t="str"/>
      <x:c r="J16" s="14" t="str">
        <x:v>나뭇잎 + 벌레</x:v>
      </x:c>
      <x:c r="K16" s="17" t="n">
        <x:v>65</x:v>
      </x:c>
      <x:c r="L16" s="18" t="n">
        <x:f>MAX('설정'!$B$6,MIN('설정'!$B$7,ROUND((K16/'설정'!$B$5+'설정'!$B$4)/'설정'!$B$8,0)*'설정'!$B$8))</x:f>
        <x:v>5.5</x:v>
      </x:c>
      <x:c r="M16" s="17" t="n">
        <x:f>ROUND(K16*(1+'설정'!$B$9),0)</x:f>
        <x:v>72</x:v>
      </x:c>
      <x:c r="N16" s="16" t="n">
        <x:v>1</x:v>
      </x:c>
    </x:row>
    <x:row r="17" ht="21" customHeight="1">
      <x:c r="A17" s="15" t="n">
        <x:v>13</x:v>
      </x:c>
      <x:c r="B17" s="15" t="n">
        <x:v>13</x:v>
      </x:c>
      <x:c r="C17" s="14" t="str">
        <x:v>맑은 양파 수프</x:v>
      </x:c>
      <x:c r="D17" s="15" t="n">
        <x:v>2</x:v>
      </x:c>
      <x:c r="E17" s="15" t="str">
        <x:v>물</x:v>
      </x:c>
      <x:c r="F17" s="15" t="str">
        <x:v>양파</x:v>
      </x:c>
      <x:c r="G17" s="15" t="str"/>
      <x:c r="H17" s="15" t="str"/>
      <x:c r="I17" s="15" t="str"/>
      <x:c r="J17" s="14" t="str">
        <x:v>물 + 양파</x:v>
      </x:c>
      <x:c r="K17" s="17" t="n">
        <x:v>80</x:v>
      </x:c>
      <x:c r="L17" s="18" t="n">
        <x:f>MAX('설정'!$B$6,MIN('설정'!$B$7,ROUND((K17/'설정'!$B$5+'설정'!$B$4)/'설정'!$B$8,0)*'설정'!$B$8))</x:f>
        <x:v>6</x:v>
      </x:c>
      <x:c r="M17" s="17" t="n">
        <x:f>ROUND(K17*(1+'설정'!$B$9),0)</x:f>
        <x:v>88</x:v>
      </x:c>
      <x:c r="N17" s="16" t="n">
        <x:v>4</x:v>
      </x:c>
    </x:row>
    <x:row r="18" ht="21" customHeight="1">
      <x:c r="A18" s="15" t="n">
        <x:v>14</x:v>
      </x:c>
      <x:c r="B18" s="15" t="n">
        <x:v>14</x:v>
      </x:c>
      <x:c r="C18" s="14" t="str">
        <x:v>아보카도 병아리콩 샐러드</x:v>
      </x:c>
      <x:c r="D18" s="15" t="n">
        <x:v>3</x:v>
      </x:c>
      <x:c r="E18" s="15" t="str">
        <x:v>아보카도</x:v>
      </x:c>
      <x:c r="F18" s="15" t="str">
        <x:v>병아리콩</x:v>
      </x:c>
      <x:c r="G18" s="15" t="str">
        <x:v>나뭇잎</x:v>
      </x:c>
      <x:c r="H18" s="15" t="str"/>
      <x:c r="I18" s="15" t="str"/>
      <x:c r="J18" s="14" t="str">
        <x:v>아보카도 + 병아리콩 + 나뭇잎</x:v>
      </x:c>
      <x:c r="K18" s="17" t="n">
        <x:v>110</x:v>
      </x:c>
      <x:c r="L18" s="18" t="n">
        <x:f>MAX('설정'!$B$6,MIN('설정'!$B$7,ROUND((K18/'설정'!$B$5+'설정'!$B$4)/'설정'!$B$8,0)*'설정'!$B$8))</x:f>
        <x:v>7.5</x:v>
      </x:c>
      <x:c r="M18" s="17" t="n">
        <x:f>ROUND(K18*(1+'설정'!$B$9),0)</x:f>
        <x:v>121</x:v>
      </x:c>
      <x:c r="N18" s="16" t="n">
        <x:v>1</x:v>
      </x:c>
    </x:row>
    <x:row r="19" ht="21" customHeight="1">
      <x:c r="A19" s="15" t="n">
        <x:v>15</x:v>
      </x:c>
      <x:c r="B19" s="15" t="n">
        <x:v>15</x:v>
      </x:c>
      <x:c r="C19" s="14" t="str">
        <x:v>새싹전</x:v>
      </x:c>
      <x:c r="D19" s="15" t="n">
        <x:v>2</x:v>
      </x:c>
      <x:c r="E19" s="15" t="str">
        <x:v>새싹</x:v>
      </x:c>
      <x:c r="F19" s="15" t="str">
        <x:v>밀가루</x:v>
      </x:c>
      <x:c r="G19" s="15" t="str"/>
      <x:c r="H19" s="15" t="str"/>
      <x:c r="I19" s="15" t="str"/>
      <x:c r="J19" s="14" t="str">
        <x:v>새싹 + 밀가루</x:v>
      </x:c>
      <x:c r="K19" s="17" t="n">
        <x:v>95</x:v>
      </x:c>
      <x:c r="L19" s="18" t="n">
        <x:f>MAX('설정'!$B$6,MIN('설정'!$B$7,ROUND((K19/'설정'!$B$5+'설정'!$B$4)/'설정'!$B$8,0)*'설정'!$B$8))</x:f>
        <x:v>7</x:v>
      </x:c>
      <x:c r="M19" s="17" t="n">
        <x:f>ROUND(K19*(1+'설정'!$B$9),0)</x:f>
        <x:v>105</x:v>
      </x:c>
      <x:c r="N19" s="16" t="n">
        <x:v>36</x:v>
      </x:c>
    </x:row>
    <x:row r="20" ht="21" customHeight="1">
      <x:c r="A20" s="15" t="n">
        <x:v>16</x:v>
      </x:c>
      <x:c r="B20" s="15" t="n">
        <x:v>16</x:v>
      </x:c>
      <x:c r="C20" s="14" t="str">
        <x:v>쌀밥</x:v>
      </x:c>
      <x:c r="D20" s="15" t="n">
        <x:v>2</x:v>
      </x:c>
      <x:c r="E20" s="15" t="str">
        <x:v>물</x:v>
      </x:c>
      <x:c r="F20" s="15" t="str">
        <x:v>쌀</x:v>
      </x:c>
      <x:c r="G20" s="15" t="str"/>
      <x:c r="H20" s="15" t="str"/>
      <x:c r="I20" s="15" t="str"/>
      <x:c r="J20" s="14" t="str">
        <x:v>물 + 쌀</x:v>
      </x:c>
      <x:c r="K20" s="17" t="n">
        <x:v>95</x:v>
      </x:c>
      <x:c r="L20" s="18" t="n">
        <x:f>MAX('설정'!$B$6,MIN('설정'!$B$7,ROUND((K20/'설정'!$B$5+'설정'!$B$4)/'설정'!$B$8,0)*'설정'!$B$8))</x:f>
        <x:v>7</x:v>
      </x:c>
      <x:c r="M20" s="17" t="n">
        <x:f>ROUND(K20*(1+'설정'!$B$9),0)</x:f>
        <x:v>105</x:v>
      </x:c>
      <x:c r="N20" s="16" t="n">
        <x:v>25</x:v>
      </x:c>
    </x:row>
    <x:row r="21" ht="21" customHeight="1">
      <x:c r="A21" s="15" t="n">
        <x:v>17</x:v>
      </x:c>
      <x:c r="B21" s="15" t="n">
        <x:v>17</x:v>
      </x:c>
      <x:c r="C21" s="14" t="str">
        <x:v>병아리콩 밥</x:v>
      </x:c>
      <x:c r="D21" s="15" t="n">
        <x:v>3</x:v>
      </x:c>
      <x:c r="E21" s="15" t="str">
        <x:v>물</x:v>
      </x:c>
      <x:c r="F21" s="15" t="str">
        <x:v>병아리콩</x:v>
      </x:c>
      <x:c r="G21" s="15" t="str">
        <x:v>쌀</x:v>
      </x:c>
      <x:c r="H21" s="15" t="str"/>
      <x:c r="I21" s="15" t="str"/>
      <x:c r="J21" s="14" t="str">
        <x:v>물 + 병아리콩 + 쌀</x:v>
      </x:c>
      <x:c r="K21" s="17" t="n">
        <x:v>110</x:v>
      </x:c>
      <x:c r="L21" s="18" t="n">
        <x:f>MAX('설정'!$B$6,MIN('설정'!$B$7,ROUND((K21/'설정'!$B$5+'설정'!$B$4)/'설정'!$B$8,0)*'설정'!$B$8))</x:f>
        <x:v>7.5</x:v>
      </x:c>
      <x:c r="M21" s="17" t="n">
        <x:f>ROUND(K21*(1+'설정'!$B$9),0)</x:f>
        <x:v>121</x:v>
      </x:c>
      <x:c r="N21" s="16" t="n">
        <x:v>8</x:v>
      </x:c>
    </x:row>
    <x:row r="22" ht="21" customHeight="1">
      <x:c r="A22" s="15" t="n">
        <x:v>18</x:v>
      </x:c>
      <x:c r="B22" s="15" t="n">
        <x:v>18</x:v>
      </x:c>
      <x:c r="C22" s="14" t="str">
        <x:v>후추 스테이크</x:v>
      </x:c>
      <x:c r="D22" s="15" t="n">
        <x:v>2</x:v>
      </x:c>
      <x:c r="E22" s="15" t="str">
        <x:v>고기</x:v>
      </x:c>
      <x:c r="F22" s="15" t="str">
        <x:v>후추</x:v>
      </x:c>
      <x:c r="G22" s="15" t="str"/>
      <x:c r="H22" s="15" t="str"/>
      <x:c r="I22" s="15" t="str"/>
      <x:c r="J22" s="14" t="str">
        <x:v>고기 + 후추</x:v>
      </x:c>
      <x:c r="K22" s="17" t="n">
        <x:v>140</x:v>
      </x:c>
      <x:c r="L22" s="18" t="n">
        <x:f>MAX('설정'!$B$6,MIN('설정'!$B$7,ROUND((K22/'설정'!$B$5+'설정'!$B$4)/'설정'!$B$8,0)*'설정'!$B$8))</x:f>
        <x:v>9</x:v>
      </x:c>
      <x:c r="M22" s="17" t="n">
        <x:f>ROUND(K22*(1+'설정'!$B$9),0)</x:f>
        <x:v>154</x:v>
      </x:c>
      <x:c r="N22" s="16" t="n">
        <x:v>20</x:v>
      </x:c>
    </x:row>
    <x:row r="23" ht="21" customHeight="1">
      <x:c r="A23" s="15" t="n">
        <x:v>19</x:v>
      </x:c>
      <x:c r="B23" s="15" t="n">
        <x:v>19</x:v>
      </x:c>
      <x:c r="C23" s="14" t="str">
        <x:v>구운 옥수수</x:v>
      </x:c>
      <x:c r="D23" s="15" t="n">
        <x:v>2</x:v>
      </x:c>
      <x:c r="E23" s="15" t="str">
        <x:v>옥수수</x:v>
      </x:c>
      <x:c r="F23" s="15" t="str">
        <x:v>옥수수</x:v>
      </x:c>
      <x:c r="G23" s="15" t="str"/>
      <x:c r="H23" s="15" t="str"/>
      <x:c r="I23" s="15" t="str"/>
      <x:c r="J23" s="14" t="str">
        <x:v>옥수수 + 옥수수</x:v>
      </x:c>
      <x:c r="K23" s="17" t="n">
        <x:v>140</x:v>
      </x:c>
      <x:c r="L23" s="18" t="n">
        <x:f>MAX('설정'!$B$6,MIN('설정'!$B$7,ROUND((K23/'설정'!$B$5+'설정'!$B$4)/'설정'!$B$8,0)*'설정'!$B$8))</x:f>
        <x:v>9</x:v>
      </x:c>
      <x:c r="M23" s="17" t="n">
        <x:f>ROUND(K23*(1+'설정'!$B$9),0)</x:f>
        <x:v>154</x:v>
      </x:c>
      <x:c r="N23" s="16" t="n">
        <x:v>5</x:v>
      </x:c>
    </x:row>
    <x:row r="24" ht="21" customHeight="1">
      <x:c r="A24" s="15" t="n">
        <x:v>20</x:v>
      </x:c>
      <x:c r="B24" s="15" t="n">
        <x:v>20</x:v>
      </x:c>
      <x:c r="C24" s="14" t="str">
        <x:v>바삭 벌레구이</x:v>
      </x:c>
      <x:c r="D24" s="15" t="n">
        <x:v>3</x:v>
      </x:c>
      <x:c r="E24" s="15" t="str">
        <x:v>벌레</x:v>
      </x:c>
      <x:c r="F24" s="15" t="str">
        <x:v>밀가루</x:v>
      </x:c>
      <x:c r="G24" s="15" t="str">
        <x:v>소금</x:v>
      </x:c>
      <x:c r="H24" s="15" t="str"/>
      <x:c r="I24" s="15" t="str"/>
      <x:c r="J24" s="14" t="str">
        <x:v>벌레 + 밀가루 + 소금</x:v>
      </x:c>
      <x:c r="K24" s="17" t="n">
        <x:v>155</x:v>
      </x:c>
      <x:c r="L24" s="18" t="n">
        <x:f>MAX('설정'!$B$6,MIN('설정'!$B$7,ROUND((K24/'설정'!$B$5+'설정'!$B$4)/'설정'!$B$8,0)*'설정'!$B$8))</x:f>
        <x:v>10</x:v>
      </x:c>
      <x:c r="M24" s="17" t="n">
        <x:f>ROUND(K24*(1+'설정'!$B$9),0)</x:f>
        <x:v>171</x:v>
      </x:c>
      <x:c r="N24" s="16" t="n">
        <x:v>5</x:v>
      </x:c>
    </x:row>
    <x:row r="25" ht="21" customHeight="1">
      <x:c r="A25" s="15" t="n">
        <x:v>21</x:v>
      </x:c>
      <x:c r="B25" s="15" t="n">
        <x:v>21</x:v>
      </x:c>
      <x:c r="C25" s="14" t="str">
        <x:v>콘스프</x:v>
      </x:c>
      <x:c r="D25" s="15" t="n">
        <x:v>3</x:v>
      </x:c>
      <x:c r="E25" s="15" t="str">
        <x:v>옥수수</x:v>
      </x:c>
      <x:c r="F25" s="15" t="str">
        <x:v>생크림</x:v>
      </x:c>
      <x:c r="G25" s="15" t="str">
        <x:v>소금</x:v>
      </x:c>
      <x:c r="H25" s="15" t="str"/>
      <x:c r="I25" s="15" t="str"/>
      <x:c r="J25" s="14" t="str">
        <x:v>옥수수 + 생크림 + 소금</x:v>
      </x:c>
      <x:c r="K25" s="17" t="n">
        <x:v>155</x:v>
      </x:c>
      <x:c r="L25" s="18" t="n">
        <x:f>MAX('설정'!$B$6,MIN('설정'!$B$7,ROUND((K25/'설정'!$B$5+'설정'!$B$4)/'설정'!$B$8,0)*'설정'!$B$8))</x:f>
        <x:v>10</x:v>
      </x:c>
      <x:c r="M25" s="17" t="n">
        <x:f>ROUND(K25*(1+'설정'!$B$9),0)</x:f>
        <x:v>171</x:v>
      </x:c>
      <x:c r="N25" s="16" t="n">
        <x:v>4</x:v>
      </x:c>
    </x:row>
    <x:row r="26" ht="21" customHeight="1">
      <x:c r="A26" s="15" t="n">
        <x:v>22</x:v>
      </x:c>
      <x:c r="B26" s="15" t="n">
        <x:v>22</x:v>
      </x:c>
      <x:c r="C26" s="14" t="str">
        <x:v>트러플 크림 리조또</x:v>
      </x:c>
      <x:c r="D26" s="15" t="n">
        <x:v>3</x:v>
      </x:c>
      <x:c r="E26" s="15" t="str">
        <x:v>쌀</x:v>
      </x:c>
      <x:c r="F26" s="15" t="str">
        <x:v>생크림</x:v>
      </x:c>
      <x:c r="G26" s="15" t="str">
        <x:v>트러플</x:v>
      </x:c>
      <x:c r="H26" s="15" t="str"/>
      <x:c r="I26" s="15" t="str"/>
      <x:c r="J26" s="14" t="str">
        <x:v>쌀 + 생크림 + 트러플</x:v>
      </x:c>
      <x:c r="K26" s="17" t="n">
        <x:v>155</x:v>
      </x:c>
      <x:c r="L26" s="18" t="n">
        <x:f>MAX('설정'!$B$6,MIN('설정'!$B$7,ROUND((K26/'설정'!$B$5+'설정'!$B$4)/'설정'!$B$8,0)*'설정'!$B$8))</x:f>
        <x:v>10</x:v>
      </x:c>
      <x:c r="M26" s="17" t="n">
        <x:f>ROUND(K26*(1+'설정'!$B$9),0)</x:f>
        <x:v>171</x:v>
      </x:c>
      <x:c r="N26" s="16" t="n">
        <x:v>8</x:v>
      </x:c>
    </x:row>
    <x:row r="27" ht="21" customHeight="1">
      <x:c r="A27" s="15" t="n">
        <x:v>23</x:v>
      </x:c>
      <x:c r="B27" s="15" t="n">
        <x:v>23</x:v>
      </x:c>
      <x:c r="C27" s="14" t="str">
        <x:v>계피차</x:v>
      </x:c>
      <x:c r="D27" s="15" t="n">
        <x:v>3</x:v>
      </x:c>
      <x:c r="E27" s="15" t="str">
        <x:v>물</x:v>
      </x:c>
      <x:c r="F27" s="15" t="str">
        <x:v>시나몬</x:v>
      </x:c>
      <x:c r="G27" s="15" t="str">
        <x:v>꿀</x:v>
      </x:c>
      <x:c r="H27" s="15" t="str"/>
      <x:c r="I27" s="15" t="str"/>
      <x:c r="J27" s="14" t="str">
        <x:v>물 + 시나몬 + 꿀</x:v>
      </x:c>
      <x:c r="K27" s="17" t="n">
        <x:v>180</x:v>
      </x:c>
      <x:c r="L27" s="18" t="n">
        <x:f>MAX('설정'!$B$6,MIN('설정'!$B$7,ROUND((K27/'설정'!$B$5+'설정'!$B$4)/'설정'!$B$8,0)*'설정'!$B$8))</x:f>
        <x:v>11</x:v>
      </x:c>
      <x:c r="M27" s="17" t="n">
        <x:f>ROUND(K27*(1+'설정'!$B$9),0)</x:f>
        <x:v>198</x:v>
      </x:c>
      <x:c r="N27" s="16" t="n">
        <x:v>39</x:v>
      </x:c>
    </x:row>
    <x:row r="28" ht="21" customHeight="1">
      <x:c r="A28" s="15" t="n">
        <x:v>24</x:v>
      </x:c>
      <x:c r="B28" s="15" t="n">
        <x:v>24</x:v>
      </x:c>
      <x:c r="C28" s="14" t="str">
        <x:v>생강차</x:v>
      </x:c>
      <x:c r="D28" s="15" t="n">
        <x:v>3</x:v>
      </x:c>
      <x:c r="E28" s="15" t="str">
        <x:v>물</x:v>
      </x:c>
      <x:c r="F28" s="15" t="str">
        <x:v>생강</x:v>
      </x:c>
      <x:c r="G28" s="15" t="str">
        <x:v>꿀</x:v>
      </x:c>
      <x:c r="H28" s="15" t="str"/>
      <x:c r="I28" s="15" t="str"/>
      <x:c r="J28" s="14" t="str">
        <x:v>물 + 생강 + 꿀</x:v>
      </x:c>
      <x:c r="K28" s="17" t="n">
        <x:v>180</x:v>
      </x:c>
      <x:c r="L28" s="18" t="n">
        <x:f>MAX('설정'!$B$6,MIN('설정'!$B$7,ROUND((K28/'설정'!$B$5+'설정'!$B$4)/'설정'!$B$8,0)*'설정'!$B$8))</x:f>
        <x:v>11</x:v>
      </x:c>
      <x:c r="M28" s="17" t="n">
        <x:f>ROUND(K28*(1+'설정'!$B$9),0)</x:f>
        <x:v>198</x:v>
      </x:c>
      <x:c r="N28" s="16" t="n">
        <x:v>39</x:v>
      </x:c>
    </x:row>
    <x:row r="29" ht="21" customHeight="1">
      <x:c r="A29" s="15" t="n">
        <x:v>25</x:v>
      </x:c>
      <x:c r="B29" s="15" t="n">
        <x:v>25</x:v>
      </x:c>
      <x:c r="C29" s="14" t="str">
        <x:v>사과 생강차</x:v>
      </x:c>
      <x:c r="D29" s="15" t="n">
        <x:v>4</x:v>
      </x:c>
      <x:c r="E29" s="15" t="str">
        <x:v>물</x:v>
      </x:c>
      <x:c r="F29" s="15" t="str">
        <x:v>사과</x:v>
      </x:c>
      <x:c r="G29" s="15" t="str">
        <x:v>생강</x:v>
      </x:c>
      <x:c r="H29" s="15" t="str">
        <x:v>꿀</x:v>
      </x:c>
      <x:c r="I29" s="15" t="str"/>
      <x:c r="J29" s="14" t="str">
        <x:v>물 + 사과 + 생강 + 꿀</x:v>
      </x:c>
      <x:c r="K29" s="17" t="n">
        <x:v>190</x:v>
      </x:c>
      <x:c r="L29" s="18" t="n">
        <x:f>MAX('설정'!$B$6,MIN('설정'!$B$7,ROUND((K29/'설정'!$B$5+'설정'!$B$4)/'설정'!$B$8,0)*'설정'!$B$8))</x:f>
        <x:v>11.5</x:v>
      </x:c>
      <x:c r="M29" s="17" t="n">
        <x:f>ROUND(K29*(1+'설정'!$B$9),0)</x:f>
        <x:v>209</x:v>
      </x:c>
      <x:c r="N29" s="16" t="n">
        <x:v>39</x:v>
      </x:c>
    </x:row>
    <x:row r="30" ht="21" customHeight="1">
      <x:c r="A30" s="15" t="n">
        <x:v>26</x:v>
      </x:c>
      <x:c r="B30" s="15" t="n">
        <x:v>26</x:v>
      </x:c>
      <x:c r="C30" s="14" t="str">
        <x:v>시나몬 사과조림</x:v>
      </x:c>
      <x:c r="D30" s="15" t="n">
        <x:v>4</x:v>
      </x:c>
      <x:c r="E30" s="15" t="str">
        <x:v>물</x:v>
      </x:c>
      <x:c r="F30" s="15" t="str">
        <x:v>사과</x:v>
      </x:c>
      <x:c r="G30" s="15" t="str">
        <x:v>시나몬</x:v>
      </x:c>
      <x:c r="H30" s="15" t="str">
        <x:v>꿀</x:v>
      </x:c>
      <x:c r="I30" s="15" t="str"/>
      <x:c r="J30" s="14" t="str">
        <x:v>물 + 사과 + 시나몬 + 꿀</x:v>
      </x:c>
      <x:c r="K30" s="17" t="n">
        <x:v>190</x:v>
      </x:c>
      <x:c r="L30" s="18" t="n">
        <x:f>MAX('설정'!$B$6,MIN('설정'!$B$7,ROUND((K30/'설정'!$B$5+'설정'!$B$4)/'설정'!$B$8,0)*'설정'!$B$8))</x:f>
        <x:v>11.5</x:v>
      </x:c>
      <x:c r="M30" s="17" t="n">
        <x:f>ROUND(K30*(1+'설정'!$B$9),0)</x:f>
        <x:v>209</x:v>
      </x:c>
      <x:c r="N30" s="16" t="n">
        <x:v>34</x:v>
      </x:c>
    </x:row>
    <x:row r="31" ht="21" customHeight="1">
      <x:c r="A31" s="15" t="n">
        <x:v>27</x:v>
      </x:c>
      <x:c r="B31" s="15" t="n">
        <x:v>27</x:v>
      </x:c>
      <x:c r="C31" s="14" t="str">
        <x:v>복숭아 요거트</x:v>
      </x:c>
      <x:c r="D31" s="15" t="n">
        <x:v>3</x:v>
      </x:c>
      <x:c r="E31" s="15" t="str">
        <x:v>복숭아</x:v>
      </x:c>
      <x:c r="F31" s="15" t="str">
        <x:v>꿀</x:v>
      </x:c>
      <x:c r="G31" s="15" t="str">
        <x:v>요거트</x:v>
      </x:c>
      <x:c r="H31" s="15" t="str"/>
      <x:c r="I31" s="15" t="str"/>
      <x:c r="J31" s="14" t="str">
        <x:v>복숭아 + 꿀 + 요거트</x:v>
      </x:c>
      <x:c r="K31" s="17" t="n">
        <x:v>180</x:v>
      </x:c>
      <x:c r="L31" s="18" t="n">
        <x:f>MAX('설정'!$B$6,MIN('설정'!$B$7,ROUND((K31/'설정'!$B$5+'설정'!$B$4)/'설정'!$B$8,0)*'설정'!$B$8))</x:f>
        <x:v>11</x:v>
      </x:c>
      <x:c r="M31" s="17" t="n">
        <x:f>ROUND(K31*(1+'설정'!$B$9),0)</x:f>
        <x:v>198</x:v>
      </x:c>
      <x:c r="N31" s="16" t="n">
        <x:v>34</x:v>
      </x:c>
    </x:row>
    <x:row r="32" ht="21" customHeight="1">
      <x:c r="A32" s="15" t="n">
        <x:v>28</x:v>
      </x:c>
      <x:c r="B32" s="15" t="n">
        <x:v>51</x:v>
      </x:c>
      <x:c r="C32" s="14" t="str">
        <x:v>새콤 양파절임</x:v>
      </x:c>
      <x:c r="D32" s="15" t="n">
        <x:v>2</x:v>
      </x:c>
      <x:c r="E32" s="15" t="str">
        <x:v>양파</x:v>
      </x:c>
      <x:c r="F32" s="15" t="str">
        <x:v>식초</x:v>
      </x:c>
      <x:c r="G32" s="15" t="str"/>
      <x:c r="H32" s="15" t="str"/>
      <x:c r="I32" s="15" t="str"/>
      <x:c r="J32" s="14" t="str">
        <x:v>양파 + 식초</x:v>
      </x:c>
      <x:c r="K32" s="17" t="n">
        <x:v>165</x:v>
      </x:c>
      <x:c r="L32" s="18" t="n">
        <x:f>MAX('설정'!$B$6,MIN('설정'!$B$7,ROUND((K32/'설정'!$B$5+'설정'!$B$4)/'설정'!$B$8,0)*'설정'!$B$8))</x:f>
        <x:v>10.5</x:v>
      </x:c>
      <x:c r="M32" s="17" t="n">
        <x:f>ROUND(K32*(1+'설정'!$B$9),0)</x:f>
        <x:v>182</x:v>
      </x:c>
      <x:c r="N32" s="16" t="n">
        <x:v>26</x:v>
      </x:c>
    </x:row>
    <x:row r="33" ht="21" customHeight="1">
      <x:c r="A33" s="15" t="n">
        <x:v>29</x:v>
      </x:c>
      <x:c r="B33" s="15" t="n">
        <x:v>28</x:v>
      </x:c>
      <x:c r="C33" s="14" t="str">
        <x:v>시나몬 롤</x:v>
      </x:c>
      <x:c r="D33" s="15" t="n">
        <x:v>3</x:v>
      </x:c>
      <x:c r="E33" s="15" t="str">
        <x:v>밀가루</x:v>
      </x:c>
      <x:c r="F33" s="15" t="str">
        <x:v>시나몬</x:v>
      </x:c>
      <x:c r="G33" s="15" t="str">
        <x:v>설탕</x:v>
      </x:c>
      <x:c r="H33" s="15" t="str"/>
      <x:c r="I33" s="15" t="str"/>
      <x:c r="J33" s="14" t="str">
        <x:v>밀가루 + 시나몬 + 설탕</x:v>
      </x:c>
      <x:c r="K33" s="17" t="n">
        <x:v>205</x:v>
      </x:c>
      <x:c r="L33" s="18" t="n">
        <x:f>MAX('설정'!$B$6,MIN('설정'!$B$7,ROUND((K33/'설정'!$B$5+'설정'!$B$4)/'설정'!$B$8,0)*'설정'!$B$8))</x:f>
        <x:v>12.5</x:v>
      </x:c>
      <x:c r="M33" s="17" t="n">
        <x:f>ROUND(K33*(1+'설정'!$B$9),0)</x:f>
        <x:v>226</x:v>
      </x:c>
      <x:c r="N33" s="16" t="n">
        <x:v>40</x:v>
      </x:c>
    </x:row>
    <x:row r="34" ht="21" customHeight="1">
      <x:c r="A34" s="15" t="n">
        <x:v>30</x:v>
      </x:c>
      <x:c r="B34" s="15" t="n">
        <x:v>29</x:v>
      </x:c>
      <x:c r="C34" s="14" t="str">
        <x:v>진저브레드</x:v>
      </x:c>
      <x:c r="D34" s="15" t="n">
        <x:v>3</x:v>
      </x:c>
      <x:c r="E34" s="15" t="str">
        <x:v>밀가루</x:v>
      </x:c>
      <x:c r="F34" s="15" t="str">
        <x:v>생강</x:v>
      </x:c>
      <x:c r="G34" s="15" t="str">
        <x:v>설탕</x:v>
      </x:c>
      <x:c r="H34" s="15" t="str"/>
      <x:c r="I34" s="15" t="str"/>
      <x:c r="J34" s="14" t="str">
        <x:v>밀가루 + 생강 + 설탕</x:v>
      </x:c>
      <x:c r="K34" s="17" t="n">
        <x:v>205</x:v>
      </x:c>
      <x:c r="L34" s="18" t="n">
        <x:f>MAX('설정'!$B$6,MIN('설정'!$B$7,ROUND((K34/'설정'!$B$5+'설정'!$B$4)/'설정'!$B$8,0)*'설정'!$B$8))</x:f>
        <x:v>12.5</x:v>
      </x:c>
      <x:c r="M34" s="17" t="n">
        <x:f>ROUND(K34*(1+'설정'!$B$9),0)</x:f>
        <x:v>226</x:v>
      </x:c>
      <x:c r="N34" s="16" t="n">
        <x:v>40</x:v>
      </x:c>
    </x:row>
    <x:row r="35" ht="21" customHeight="1">
      <x:c r="A35" s="15" t="n">
        <x:v>31</x:v>
      </x:c>
      <x:c r="B35" s="15" t="n">
        <x:v>30</x:v>
      </x:c>
      <x:c r="C35" s="14" t="str">
        <x:v>해바라기씨 파이</x:v>
      </x:c>
      <x:c r="D35" s="15" t="n">
        <x:v>3</x:v>
      </x:c>
      <x:c r="E35" s="15" t="str">
        <x:v>씨앗</x:v>
      </x:c>
      <x:c r="F35" s="15" t="str">
        <x:v>밀가루</x:v>
      </x:c>
      <x:c r="G35" s="15" t="str">
        <x:v>설탕</x:v>
      </x:c>
      <x:c r="H35" s="15" t="str"/>
      <x:c r="I35" s="15" t="str"/>
      <x:c r="J35" s="14" t="str">
        <x:v>씨앗 + 밀가루 + 설탕</x:v>
      </x:c>
      <x:c r="K35" s="17" t="n">
        <x:v>205</x:v>
      </x:c>
      <x:c r="L35" s="18" t="n">
        <x:f>MAX('설정'!$B$6,MIN('설정'!$B$7,ROUND((K35/'설정'!$B$5+'설정'!$B$4)/'설정'!$B$8,0)*'설정'!$B$8))</x:f>
        <x:v>12.5</x:v>
      </x:c>
      <x:c r="M35" s="17" t="n">
        <x:f>ROUND(K35*(1+'설정'!$B$9),0)</x:f>
        <x:v>226</x:v>
      </x:c>
      <x:c r="N35" s="16" t="n">
        <x:v>29</x:v>
      </x:c>
    </x:row>
    <x:row r="36" ht="21" customHeight="1">
      <x:c r="A36" s="15" t="n">
        <x:v>32</x:v>
      </x:c>
      <x:c r="B36" s="15" t="n">
        <x:v>31</x:v>
      </x:c>
      <x:c r="C36" s="14" t="str">
        <x:v>딸기 생크림 케이크</x:v>
      </x:c>
      <x:c r="D36" s="15" t="n">
        <x:v>4</x:v>
      </x:c>
      <x:c r="E36" s="15" t="str">
        <x:v>딸기</x:v>
      </x:c>
      <x:c r="F36" s="15" t="str">
        <x:v>생크림</x:v>
      </x:c>
      <x:c r="G36" s="15" t="str">
        <x:v>밀가루</x:v>
      </x:c>
      <x:c r="H36" s="15" t="str">
        <x:v>설탕</x:v>
      </x:c>
      <x:c r="I36" s="15" t="str"/>
      <x:c r="J36" s="14" t="str">
        <x:v>딸기 + 생크림 + 밀가루 + 설탕</x:v>
      </x:c>
      <x:c r="K36" s="17" t="n">
        <x:v>215</x:v>
      </x:c>
      <x:c r="L36" s="18" t="n">
        <x:f>MAX('설정'!$B$6,MIN('설정'!$B$7,ROUND((K36/'설정'!$B$5+'설정'!$B$4)/'설정'!$B$8,0)*'설정'!$B$8))</x:f>
        <x:v>13</x:v>
      </x:c>
      <x:c r="M36" s="17" t="n">
        <x:f>ROUND(K36*(1+'설정'!$B$9),0)</x:f>
        <x:v>237</x:v>
      </x:c>
      <x:c r="N36" s="16" t="n">
        <x:v>40</x:v>
      </x:c>
    </x:row>
    <x:row r="37" ht="21" customHeight="1">
      <x:c r="A37" s="15" t="n">
        <x:v>33</x:v>
      </x:c>
      <x:c r="B37" s="15" t="n">
        <x:v>32</x:v>
      </x:c>
      <x:c r="C37" s="14" t="str">
        <x:v>체리 사탕</x:v>
      </x:c>
      <x:c r="D37" s="15" t="n">
        <x:v>2</x:v>
      </x:c>
      <x:c r="E37" s="15" t="str">
        <x:v>체리</x:v>
      </x:c>
      <x:c r="F37" s="15" t="str">
        <x:v>설탕</x:v>
      </x:c>
      <x:c r="G37" s="15" t="str"/>
      <x:c r="H37" s="15" t="str"/>
      <x:c r="I37" s="15" t="str"/>
      <x:c r="J37" s="14" t="str">
        <x:v>체리 + 설탕</x:v>
      </x:c>
      <x:c r="K37" s="17" t="n">
        <x:v>190</x:v>
      </x:c>
      <x:c r="L37" s="18" t="n">
        <x:f>MAX('설정'!$B$6,MIN('설정'!$B$7,ROUND((K37/'설정'!$B$5+'설정'!$B$4)/'설정'!$B$8,0)*'설정'!$B$8))</x:f>
        <x:v>11.5</x:v>
      </x:c>
      <x:c r="M37" s="17" t="n">
        <x:f>ROUND(K37*(1+'설정'!$B$9),0)</x:f>
        <x:v>209</x:v>
      </x:c>
      <x:c r="N37" s="16" t="n">
        <x:v>34</x:v>
      </x:c>
    </x:row>
    <x:row r="38" ht="21" customHeight="1">
      <x:c r="A38" s="15" t="n">
        <x:v>34</x:v>
      </x:c>
      <x:c r="B38" s="15" t="n">
        <x:v>33</x:v>
      </x:c>
      <x:c r="C38" s="14" t="str">
        <x:v>과일 가족 모임</x:v>
      </x:c>
      <x:c r="D38" s="15" t="n">
        <x:v>4</x:v>
      </x:c>
      <x:c r="E38" s="15" t="str">
        <x:v>사과</x:v>
      </x:c>
      <x:c r="F38" s="15" t="str">
        <x:v>복숭아</x:v>
      </x:c>
      <x:c r="G38" s="15" t="str">
        <x:v>체리</x:v>
      </x:c>
      <x:c r="H38" s="15" t="str">
        <x:v>딸기</x:v>
      </x:c>
      <x:c r="I38" s="15" t="str"/>
      <x:c r="J38" s="14" t="str">
        <x:v>사과 + 복숭아 + 체리 + 딸기</x:v>
      </x:c>
      <x:c r="K38" s="17" t="n">
        <x:v>215</x:v>
      </x:c>
      <x:c r="L38" s="18" t="n">
        <x:f>MAX('설정'!$B$6,MIN('설정'!$B$7,ROUND((K38/'설정'!$B$5+'설정'!$B$4)/'설정'!$B$8,0)*'설정'!$B$8))</x:f>
        <x:v>13</x:v>
      </x:c>
      <x:c r="M38" s="17" t="n">
        <x:f>ROUND(K38*(1+'설정'!$B$9),0)</x:f>
        <x:v>237</x:v>
      </x:c>
      <x:c r="N38" s="16" t="n">
        <x:v>34</x:v>
      </x:c>
    </x:row>
    <x:row r="39" ht="21" customHeight="1">
      <x:c r="A39" s="15" t="n">
        <x:v>35</x:v>
      </x:c>
      <x:c r="B39" s="15" t="n">
        <x:v>34</x:v>
      </x:c>
      <x:c r="C39" s="14" t="str">
        <x:v>김치전</x:v>
      </x:c>
      <x:c r="D39" s="15" t="n">
        <x:v>2</x:v>
      </x:c>
      <x:c r="E39" s="15" t="str">
        <x:v>김치</x:v>
      </x:c>
      <x:c r="F39" s="15" t="str">
        <x:v>밀가루</x:v>
      </x:c>
      <x:c r="G39" s="15" t="str"/>
      <x:c r="H39" s="15" t="str"/>
      <x:c r="I39" s="15" t="str"/>
      <x:c r="J39" s="14" t="str">
        <x:v>김치 + 밀가루</x:v>
      </x:c>
      <x:c r="K39" s="17" t="n">
        <x:v>215</x:v>
      </x:c>
      <x:c r="L39" s="18" t="n">
        <x:f>MAX('설정'!$B$6,MIN('설정'!$B$7,ROUND((K39/'설정'!$B$5+'설정'!$B$4)/'설정'!$B$8,0)*'설정'!$B$8))</x:f>
        <x:v>13</x:v>
      </x:c>
      <x:c r="M39" s="17" t="n">
        <x:f>ROUND(K39*(1+'설정'!$B$9),0)</x:f>
        <x:v>237</x:v>
      </x:c>
      <x:c r="N39" s="16" t="n">
        <x:v>36</x:v>
      </x:c>
    </x:row>
    <x:row r="40" ht="21" customHeight="1">
      <x:c r="A40" s="15" t="n">
        <x:v>36</x:v>
      </x:c>
      <x:c r="B40" s="15" t="n">
        <x:v>35</x:v>
      </x:c>
      <x:c r="C40" s="14" t="str">
        <x:v>파김치</x:v>
      </x:c>
      <x:c r="D40" s="15" t="n">
        <x:v>2</x:v>
      </x:c>
      <x:c r="E40" s="15" t="str">
        <x:v>김치</x:v>
      </x:c>
      <x:c r="F40" s="15" t="str">
        <x:v>파</x:v>
      </x:c>
      <x:c r="G40" s="15" t="str"/>
      <x:c r="H40" s="15" t="str"/>
      <x:c r="I40" s="15" t="str"/>
      <x:c r="J40" s="14" t="str">
        <x:v>김치 + 파</x:v>
      </x:c>
      <x:c r="K40" s="17" t="n">
        <x:v>215</x:v>
      </x:c>
      <x:c r="L40" s="18" t="n">
        <x:f>MAX('설정'!$B$6,MIN('설정'!$B$7,ROUND((K40/'설정'!$B$5+'설정'!$B$4)/'설정'!$B$8,0)*'설정'!$B$8))</x:f>
        <x:v>13</x:v>
      </x:c>
      <x:c r="M40" s="17" t="n">
        <x:f>ROUND(K40*(1+'설정'!$B$9),0)</x:f>
        <x:v>237</x:v>
      </x:c>
      <x:c r="N40" s="16" t="n">
        <x:v>6</x:v>
      </x:c>
    </x:row>
    <x:row r="41" ht="21" customHeight="1">
      <x:c r="A41" s="15" t="n">
        <x:v>37</x:v>
      </x:c>
      <x:c r="B41" s="15" t="n">
        <x:v>36</x:v>
      </x:c>
      <x:c r="C41" s="14" t="str">
        <x:v>된장국</x:v>
      </x:c>
      <x:c r="D41" s="15" t="n">
        <x:v>2</x:v>
      </x:c>
      <x:c r="E41" s="15" t="str">
        <x:v>물</x:v>
      </x:c>
      <x:c r="F41" s="15" t="str">
        <x:v>된장</x:v>
      </x:c>
      <x:c r="G41" s="15" t="str"/>
      <x:c r="H41" s="15" t="str"/>
      <x:c r="I41" s="15" t="str"/>
      <x:c r="J41" s="14" t="str">
        <x:v>물 + 된장</x:v>
      </x:c>
      <x:c r="K41" s="17" t="n">
        <x:v>215</x:v>
      </x:c>
      <x:c r="L41" s="18" t="n">
        <x:f>MAX('설정'!$B$6,MIN('설정'!$B$7,ROUND((K41/'설정'!$B$5+'설정'!$B$4)/'설정'!$B$8,0)*'설정'!$B$8))</x:f>
        <x:v>13</x:v>
      </x:c>
      <x:c r="M41" s="17" t="n">
        <x:f>ROUND(K41*(1+'설정'!$B$9),0)</x:f>
        <x:v>237</x:v>
      </x:c>
      <x:c r="N41" s="16" t="n">
        <x:v>39</x:v>
      </x:c>
    </x:row>
    <x:row r="42" ht="21" customHeight="1">
      <x:c r="A42" s="15" t="n">
        <x:v>38</x:v>
      </x:c>
      <x:c r="B42" s="15" t="n">
        <x:v>37</x:v>
      </x:c>
      <x:c r="C42" s="14" t="str">
        <x:v>불고기</x:v>
      </x:c>
      <x:c r="D42" s="15" t="n">
        <x:v>3</x:v>
      </x:c>
      <x:c r="E42" s="15" t="str">
        <x:v>고기</x:v>
      </x:c>
      <x:c r="F42" s="15" t="str">
        <x:v>간장</x:v>
      </x:c>
      <x:c r="G42" s="15" t="str">
        <x:v>양파</x:v>
      </x:c>
      <x:c r="H42" s="15" t="str"/>
      <x:c r="I42" s="15" t="str"/>
      <x:c r="J42" s="14" t="str">
        <x:v>고기 + 간장 + 양파</x:v>
      </x:c>
      <x:c r="K42" s="17" t="n">
        <x:v>230</x:v>
      </x:c>
      <x:c r="L42" s="18" t="n">
        <x:f>MAX('설정'!$B$6,MIN('설정'!$B$7,ROUND((K42/'설정'!$B$5+'설정'!$B$4)/'설정'!$B$8,0)*'설정'!$B$8))</x:f>
        <x:v>13.5</x:v>
      </x:c>
      <x:c r="M42" s="17" t="n">
        <x:f>ROUND(K42*(1+'설정'!$B$9),0)</x:f>
        <x:v>253</x:v>
      </x:c>
      <x:c r="N42" s="16" t="n">
        <x:v>19</x:v>
      </x:c>
    </x:row>
    <x:row r="43" ht="21" customHeight="1">
      <x:c r="A43" s="15" t="n">
        <x:v>39</x:v>
      </x:c>
      <x:c r="B43" s="15" t="n">
        <x:v>38</x:v>
      </x:c>
      <x:c r="C43" s="14" t="str">
        <x:v>계란볶음밥</x:v>
      </x:c>
      <x:c r="D43" s="15" t="n">
        <x:v>3</x:v>
      </x:c>
      <x:c r="E43" s="15" t="str">
        <x:v>쌀</x:v>
      </x:c>
      <x:c r="F43" s="15" t="str">
        <x:v>계란</x:v>
      </x:c>
      <x:c r="G43" s="15" t="str">
        <x:v>식용유</x:v>
      </x:c>
      <x:c r="H43" s="15" t="str"/>
      <x:c r="I43" s="15" t="str"/>
      <x:c r="J43" s="14" t="str">
        <x:v>쌀 + 계란 + 식용유</x:v>
      </x:c>
      <x:c r="K43" s="17" t="n">
        <x:v>230</x:v>
      </x:c>
      <x:c r="L43" s="18" t="n">
        <x:f>MAX('설정'!$B$6,MIN('설정'!$B$7,ROUND((K43/'설정'!$B$5+'설정'!$B$4)/'설정'!$B$8,0)*'설정'!$B$8))</x:f>
        <x:v>13.5</x:v>
      </x:c>
      <x:c r="M43" s="17" t="n">
        <x:f>ROUND(K43*(1+'설정'!$B$9),0)</x:f>
        <x:v>253</x:v>
      </x:c>
      <x:c r="N43" s="16" t="n">
        <x:v>8</x:v>
      </x:c>
    </x:row>
    <x:row r="44" ht="21" customHeight="1">
      <x:c r="A44" s="15" t="n">
        <x:v>40</x:v>
      </x:c>
      <x:c r="B44" s="15" t="n">
        <x:v>39</x:v>
      </x:c>
      <x:c r="C44" s="14" t="str">
        <x:v>김치볶음밥</x:v>
      </x:c>
      <x:c r="D44" s="15" t="n">
        <x:v>3</x:v>
      </x:c>
      <x:c r="E44" s="15" t="str">
        <x:v>김치</x:v>
      </x:c>
      <x:c r="F44" s="15" t="str">
        <x:v>식용유</x:v>
      </x:c>
      <x:c r="G44" s="15" t="str">
        <x:v>쌀</x:v>
      </x:c>
      <x:c r="H44" s="15" t="str"/>
      <x:c r="I44" s="15" t="str"/>
      <x:c r="J44" s="14" t="str">
        <x:v>김치 + 식용유 + 쌀</x:v>
      </x:c>
      <x:c r="K44" s="17" t="n">
        <x:v>230</x:v>
      </x:c>
      <x:c r="L44" s="18" t="n">
        <x:f>MAX('설정'!$B$6,MIN('설정'!$B$7,ROUND((K44/'설정'!$B$5+'설정'!$B$4)/'설정'!$B$8,0)*'설정'!$B$8))</x:f>
        <x:v>13.5</x:v>
      </x:c>
      <x:c r="M44" s="17" t="n">
        <x:f>ROUND(K44*(1+'설정'!$B$9),0)</x:f>
        <x:v>253</x:v>
      </x:c>
      <x:c r="N44" s="16" t="n">
        <x:v>8</x:v>
      </x:c>
    </x:row>
    <x:row r="45" ht="21" customHeight="1">
      <x:c r="A45" s="15" t="n">
        <x:v>41</x:v>
      </x:c>
      <x:c r="B45" s="15" t="n">
        <x:v>40</x:v>
      </x:c>
      <x:c r="C45" s="14" t="str">
        <x:v>양배추 딤섬</x:v>
      </x:c>
      <x:c r="D45" s="15" t="n">
        <x:v>4</x:v>
      </x:c>
      <x:c r="E45" s="15" t="str">
        <x:v>양배추</x:v>
      </x:c>
      <x:c r="F45" s="15" t="str">
        <x:v>밀가루</x:v>
      </x:c>
      <x:c r="G45" s="15" t="str">
        <x:v>고기</x:v>
      </x:c>
      <x:c r="H45" s="15" t="str">
        <x:v>파</x:v>
      </x:c>
      <x:c r="I45" s="15" t="str"/>
      <x:c r="J45" s="14" t="str">
        <x:v>양배추 + 밀가루 + 고기 + 파</x:v>
      </x:c>
      <x:c r="K45" s="17" t="n">
        <x:v>265</x:v>
      </x:c>
      <x:c r="L45" s="18" t="n">
        <x:f>MAX('설정'!$B$6,MIN('설정'!$B$7,ROUND((K45/'설정'!$B$5+'설정'!$B$4)/'설정'!$B$8,0)*'설정'!$B$8))</x:f>
        <x:v>15.5</x:v>
      </x:c>
      <x:c r="M45" s="17" t="n">
        <x:f>ROUND(K45*(1+'설정'!$B$9),0)</x:f>
        <x:v>292</x:v>
      </x:c>
      <x:c r="N45" s="16" t="n">
        <x:v>12</x:v>
      </x:c>
    </x:row>
    <x:row r="46" ht="21" customHeight="1">
      <x:c r="A46" s="15" t="n">
        <x:v>42</x:v>
      </x:c>
      <x:c r="B46" s="15" t="n">
        <x:v>41</x:v>
      </x:c>
      <x:c r="C46" s="14" t="str">
        <x:v>가지 소고기 덮밥</x:v>
      </x:c>
      <x:c r="D46" s="15" t="n">
        <x:v>5</x:v>
      </x:c>
      <x:c r="E46" s="15" t="str">
        <x:v>가지</x:v>
      </x:c>
      <x:c r="F46" s="15" t="str">
        <x:v>고기</x:v>
      </x:c>
      <x:c r="G46" s="15" t="str">
        <x:v>쌀</x:v>
      </x:c>
      <x:c r="H46" s="15" t="str">
        <x:v>양파</x:v>
      </x:c>
      <x:c r="I46" s="15" t="str">
        <x:v>간장</x:v>
      </x:c>
      <x:c r="J46" s="14" t="str">
        <x:v>가지 + 고기 + 쌀 + 양파 + 간장</x:v>
      </x:c>
      <x:c r="K46" s="17" t="n">
        <x:v>280</x:v>
      </x:c>
      <x:c r="L46" s="18" t="n">
        <x:f>MAX('설정'!$B$6,MIN('설정'!$B$7,ROUND((K46/'설정'!$B$5+'설정'!$B$4)/'설정'!$B$8,0)*'설정'!$B$8))</x:f>
        <x:v>16</x:v>
      </x:c>
      <x:c r="M46" s="17" t="n">
        <x:f>ROUND(K46*(1+'설정'!$B$9),0)</x:f>
        <x:v>308</x:v>
      </x:c>
      <x:c r="N46" s="16" t="n">
        <x:v>19</x:v>
      </x:c>
    </x:row>
    <x:row r="47" ht="21" customHeight="1">
      <x:c r="A47" s="15" t="n">
        <x:v>43</x:v>
      </x:c>
      <x:c r="B47" s="15" t="n">
        <x:v>42</x:v>
      </x:c>
      <x:c r="C47" s="14" t="str">
        <x:v>씨앗 오이 샐러드</x:v>
      </x:c>
      <x:c r="D47" s="15" t="n">
        <x:v>3</x:v>
      </x:c>
      <x:c r="E47" s="15" t="str">
        <x:v>씨앗</x:v>
      </x:c>
      <x:c r="F47" s="15" t="str">
        <x:v>오이</x:v>
      </x:c>
      <x:c r="G47" s="15" t="str">
        <x:v>나뭇잎</x:v>
      </x:c>
      <x:c r="H47" s="15" t="str"/>
      <x:c r="I47" s="15" t="str"/>
      <x:c r="J47" s="14" t="str">
        <x:v>씨앗 + 오이 + 나뭇잎</x:v>
      </x:c>
      <x:c r="K47" s="17" t="n">
        <x:v>255</x:v>
      </x:c>
      <x:c r="L47" s="18" t="n">
        <x:f>MAX('설정'!$B$6,MIN('설정'!$B$7,ROUND((K47/'설정'!$B$5+'설정'!$B$4)/'설정'!$B$8,0)*'설정'!$B$8))</x:f>
        <x:v>15</x:v>
      </x:c>
      <x:c r="M47" s="17" t="n">
        <x:f>ROUND(K47*(1+'설정'!$B$9),0)</x:f>
        <x:v>281</x:v>
      </x:c>
      <x:c r="N47" s="16" t="n">
        <x:v>1</x:v>
      </x:c>
    </x:row>
    <x:row r="48" ht="21" customHeight="1">
      <x:c r="A48" s="15" t="n">
        <x:v>44</x:v>
      </x:c>
      <x:c r="B48" s="15" t="n">
        <x:v>43</x:v>
      </x:c>
      <x:c r="C48" s="14" t="str">
        <x:v>마늘 김치볶음</x:v>
      </x:c>
      <x:c r="D48" s="15" t="n">
        <x:v>3</x:v>
      </x:c>
      <x:c r="E48" s="15" t="str">
        <x:v>김치</x:v>
      </x:c>
      <x:c r="F48" s="15" t="str">
        <x:v>식용유</x:v>
      </x:c>
      <x:c r="G48" s="15" t="str">
        <x:v>마늘</x:v>
      </x:c>
      <x:c r="H48" s="15" t="str"/>
      <x:c r="I48" s="15" t="str"/>
      <x:c r="J48" s="14" t="str">
        <x:v>김치 + 식용유 + 마늘</x:v>
      </x:c>
      <x:c r="K48" s="17" t="n">
        <x:v>255</x:v>
      </x:c>
      <x:c r="L48" s="18" t="n">
        <x:f>MAX('설정'!$B$6,MIN('설정'!$B$7,ROUND((K48/'설정'!$B$5+'설정'!$B$4)/'설정'!$B$8,0)*'설정'!$B$8))</x:f>
        <x:v>15</x:v>
      </x:c>
      <x:c r="M48" s="17" t="n">
        <x:f>ROUND(K48*(1+'설정'!$B$9),0)</x:f>
        <x:v>281</x:v>
      </x:c>
      <x:c r="N48" s="16" t="n">
        <x:v>19</x:v>
      </x:c>
    </x:row>
    <x:row r="49" ht="21" customHeight="1">
      <x:c r="A49" s="15" t="n">
        <x:v>45</x:v>
      </x:c>
      <x:c r="B49" s="15" t="n">
        <x:v>44</x:v>
      </x:c>
      <x:c r="C49" s="14" t="str">
        <x:v>마늘 육회</x:v>
      </x:c>
      <x:c r="D49" s="15" t="n">
        <x:v>4</x:v>
      </x:c>
      <x:c r="E49" s="15" t="str">
        <x:v>고기</x:v>
      </x:c>
      <x:c r="F49" s="15" t="str">
        <x:v>계란</x:v>
      </x:c>
      <x:c r="G49" s="15" t="str">
        <x:v>파</x:v>
      </x:c>
      <x:c r="H49" s="15" t="str">
        <x:v>마늘</x:v>
      </x:c>
      <x:c r="I49" s="15" t="str"/>
      <x:c r="J49" s="14" t="str">
        <x:v>고기 + 계란 + 파 + 마늘</x:v>
      </x:c>
      <x:c r="K49" s="17" t="n">
        <x:v>265</x:v>
      </x:c>
      <x:c r="L49" s="18" t="n">
        <x:f>MAX('설정'!$B$6,MIN('설정'!$B$7,ROUND((K49/'설정'!$B$5+'설정'!$B$4)/'설정'!$B$8,0)*'설정'!$B$8))</x:f>
        <x:v>15.5</x:v>
      </x:c>
      <x:c r="M49" s="17" t="n">
        <x:f>ROUND(K49*(1+'설정'!$B$9),0)</x:f>
        <x:v>292</x:v>
      </x:c>
      <x:c r="N49" s="16" t="n">
        <x:v>19</x:v>
      </x:c>
    </x:row>
    <x:row r="50" ht="21" customHeight="1">
      <x:c r="A50" s="15" t="n">
        <x:v>46</x:v>
      </x:c>
      <x:c r="B50" s="15" t="n">
        <x:v>45</x:v>
      </x:c>
      <x:c r="C50" s="14" t="str">
        <x:v>치즈 간장계란밥</x:v>
      </x:c>
      <x:c r="D50" s="15" t="n">
        <x:v>4</x:v>
      </x:c>
      <x:c r="E50" s="15" t="str">
        <x:v>쌀</x:v>
      </x:c>
      <x:c r="F50" s="15" t="str">
        <x:v>계란</x:v>
      </x:c>
      <x:c r="G50" s="15" t="str">
        <x:v>간장</x:v>
      </x:c>
      <x:c r="H50" s="15" t="str">
        <x:v>치즈</x:v>
      </x:c>
      <x:c r="I50" s="15" t="str"/>
      <x:c r="J50" s="14" t="str">
        <x:v>쌀 + 계란 + 간장 + 치즈</x:v>
      </x:c>
      <x:c r="K50" s="17" t="n">
        <x:v>290</x:v>
      </x:c>
      <x:c r="L50" s="18" t="n">
        <x:f>MAX('설정'!$B$6,MIN('설정'!$B$7,ROUND((K50/'설정'!$B$5+'설정'!$B$4)/'설정'!$B$8,0)*'설정'!$B$8))</x:f>
        <x:v>16.5</x:v>
      </x:c>
      <x:c r="M50" s="17" t="n">
        <x:f>ROUND(K50*(1+'설정'!$B$9),0)</x:f>
        <x:v>319</x:v>
      </x:c>
      <x:c r="N50" s="16" t="n">
        <x:v>22</x:v>
      </x:c>
    </x:row>
    <x:row r="51" ht="21" customHeight="1">
      <x:c r="A51" s="15" t="n">
        <x:v>47</x:v>
      </x:c>
      <x:c r="B51" s="15" t="n">
        <x:v>46</x:v>
      </x:c>
      <x:c r="C51" s="14" t="str">
        <x:v>연어덮밥</x:v>
      </x:c>
      <x:c r="D51" s="15" t="n">
        <x:v>4</x:v>
      </x:c>
      <x:c r="E51" s="15" t="str">
        <x:v>쌀</x:v>
      </x:c>
      <x:c r="F51" s="15" t="str">
        <x:v>연어</x:v>
      </x:c>
      <x:c r="G51" s="15" t="str">
        <x:v>양파</x:v>
      </x:c>
      <x:c r="H51" s="15" t="str">
        <x:v>간장</x:v>
      </x:c>
      <x:c r="I51" s="15" t="str"/>
      <x:c r="J51" s="14" t="str">
        <x:v>쌀 + 연어 + 양파 + 간장</x:v>
      </x:c>
      <x:c r="K51" s="17" t="n">
        <x:v>290</x:v>
      </x:c>
      <x:c r="L51" s="18" t="n">
        <x:f>MAX('설정'!$B$6,MIN('설정'!$B$7,ROUND((K51/'설정'!$B$5+'설정'!$B$4)/'설정'!$B$8,0)*'설정'!$B$8))</x:f>
        <x:v>16.5</x:v>
      </x:c>
      <x:c r="M51" s="17" t="n">
        <x:f>ROUND(K51*(1+'설정'!$B$9),0)</x:f>
        <x:v>319</x:v>
      </x:c>
      <x:c r="N51" s="16" t="n">
        <x:v>18</x:v>
      </x:c>
    </x:row>
    <x:row r="52" ht="21" customHeight="1">
      <x:c r="A52" s="15" t="n">
        <x:v>48</x:v>
      </x:c>
      <x:c r="B52" s="15" t="n">
        <x:v>47</x:v>
      </x:c>
      <x:c r="C52" s="14" t="str">
        <x:v>대구구이</x:v>
      </x:c>
      <x:c r="D52" s="15" t="n">
        <x:v>2</x:v>
      </x:c>
      <x:c r="E52" s="15" t="str">
        <x:v>대구</x:v>
      </x:c>
      <x:c r="F52" s="15" t="str">
        <x:v>소금</x:v>
      </x:c>
      <x:c r="G52" s="15" t="str"/>
      <x:c r="H52" s="15" t="str"/>
      <x:c r="I52" s="15" t="str"/>
      <x:c r="J52" s="14" t="str">
        <x:v>대구 + 소금</x:v>
      </x:c>
      <x:c r="K52" s="17" t="n">
        <x:v>265</x:v>
      </x:c>
      <x:c r="L52" s="18" t="n">
        <x:f>MAX('설정'!$B$6,MIN('설정'!$B$7,ROUND((K52/'설정'!$B$5+'설정'!$B$4)/'설정'!$B$8,0)*'설정'!$B$8))</x:f>
        <x:v>15.5</x:v>
      </x:c>
      <x:c r="M52" s="17" t="n">
        <x:f>ROUND(K52*(1+'설정'!$B$9),0)</x:f>
        <x:v>292</x:v>
      </x:c>
      <x:c r="N52" s="16" t="n">
        <x:v>18</x:v>
      </x:c>
    </x:row>
    <x:row r="53" ht="21" customHeight="1">
      <x:c r="A53" s="15" t="n">
        <x:v>49</x:v>
      </x:c>
      <x:c r="B53" s="15" t="n">
        <x:v>48</x:v>
      </x:c>
      <x:c r="C53" s="14" t="str">
        <x:v>연어구이</x:v>
      </x:c>
      <x:c r="D53" s="15" t="n">
        <x:v>2</x:v>
      </x:c>
      <x:c r="E53" s="15" t="str">
        <x:v>연어</x:v>
      </x:c>
      <x:c r="F53" s="15" t="str">
        <x:v>소금</x:v>
      </x:c>
      <x:c r="G53" s="15" t="str"/>
      <x:c r="H53" s="15" t="str"/>
      <x:c r="I53" s="15" t="str"/>
      <x:c r="J53" s="14" t="str">
        <x:v>연어 + 소금</x:v>
      </x:c>
      <x:c r="K53" s="17" t="n">
        <x:v>265</x:v>
      </x:c>
      <x:c r="L53" s="18" t="n">
        <x:f>MAX('설정'!$B$6,MIN('설정'!$B$7,ROUND((K53/'설정'!$B$5+'설정'!$B$4)/'설정'!$B$8,0)*'설정'!$B$8))</x:f>
        <x:v>15.5</x:v>
      </x:c>
      <x:c r="M53" s="17" t="n">
        <x:f>ROUND(K53*(1+'설정'!$B$9),0)</x:f>
        <x:v>292</x:v>
      </x:c>
      <x:c r="N53" s="16" t="n">
        <x:v>18</x:v>
      </x:c>
    </x:row>
    <x:row r="54" ht="21" customHeight="1">
      <x:c r="A54" s="15" t="n">
        <x:v>50</x:v>
      </x:c>
      <x:c r="B54" s="15" t="n">
        <x:v>49</x:v>
      </x:c>
      <x:c r="C54" s="14" t="str">
        <x:v>연어초밥</x:v>
      </x:c>
      <x:c r="D54" s="15" t="n">
        <x:v>4</x:v>
      </x:c>
      <x:c r="E54" s="15" t="str">
        <x:v>연어</x:v>
      </x:c>
      <x:c r="F54" s="15" t="str">
        <x:v>쌀</x:v>
      </x:c>
      <x:c r="G54" s="15" t="str">
        <x:v>식초</x:v>
      </x:c>
      <x:c r="H54" s="15" t="str">
        <x:v>설탕</x:v>
      </x:c>
      <x:c r="I54" s="15" t="str"/>
      <x:c r="J54" s="14" t="str">
        <x:v>연어 + 쌀 + 식초 + 설탕</x:v>
      </x:c>
      <x:c r="K54" s="17" t="n">
        <x:v>290</x:v>
      </x:c>
      <x:c r="L54" s="18" t="n">
        <x:f>MAX('설정'!$B$6,MIN('설정'!$B$7,ROUND((K54/'설정'!$B$5+'설정'!$B$4)/'설정'!$B$8,0)*'설정'!$B$8))</x:f>
        <x:v>16.5</x:v>
      </x:c>
      <x:c r="M54" s="17" t="n">
        <x:f>ROUND(K54*(1+'설정'!$B$9),0)</x:f>
        <x:v>319</x:v>
      </x:c>
      <x:c r="N54" s="16" t="n">
        <x:v>18</x:v>
      </x:c>
    </x:row>
    <x:row r="55" ht="21" customHeight="1">
      <x:c r="A55" s="15" t="n">
        <x:v>51</x:v>
      </x:c>
      <x:c r="B55" s="15" t="n">
        <x:v>50</x:v>
      </x:c>
      <x:c r="C55" s="14" t="str">
        <x:v>치즈 오믈렛</x:v>
      </x:c>
      <x:c r="D55" s="15" t="n">
        <x:v>4</x:v>
      </x:c>
      <x:c r="E55" s="15" t="str">
        <x:v>계란</x:v>
      </x:c>
      <x:c r="F55" s="15" t="str">
        <x:v>우유</x:v>
      </x:c>
      <x:c r="G55" s="15" t="str">
        <x:v>치즈</x:v>
      </x:c>
      <x:c r="H55" s="15" t="str">
        <x:v>식용유</x:v>
      </x:c>
      <x:c r="I55" s="15" t="str"/>
      <x:c r="J55" s="14" t="str">
        <x:v>계란 + 우유 + 치즈 + 식용유</x:v>
      </x:c>
      <x:c r="K55" s="17" t="n">
        <x:v>290</x:v>
      </x:c>
      <x:c r="L55" s="18" t="n">
        <x:f>MAX('설정'!$B$6,MIN('설정'!$B$7,ROUND((K55/'설정'!$B$5+'설정'!$B$4)/'설정'!$B$8,0)*'설정'!$B$8))</x:f>
        <x:v>16.5</x:v>
      </x:c>
      <x:c r="M55" s="17" t="n">
        <x:f>ROUND(K55*(1+'설정'!$B$9),0)</x:f>
        <x:v>319</x:v>
      </x:c>
      <x:c r="N55" s="16" t="n">
        <x:v>22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b746bcb598b9446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38" hidden="0" customWidth="1"/>
  </x:cols>
  <x:sheetData>
    <x:row r="1" ht="30" customHeight="1">
      <x:c r="A1" s="22" t="str">
        <x:v>프로토타입 계산 설정</x:v>
      </x:c>
      <x:c r="B1" s="22"/>
      <x:c r="C1" s="22"/>
    </x:row>
    <x:row r="3">
      <x:c r="A3" s="38" t="str">
        <x:v>항목</x:v>
      </x:c>
      <x:c r="B3" s="39" t="str">
        <x:v>값</x:v>
      </x:c>
      <x:c r="C3" s="40" t="str">
        <x:v>설명</x:v>
      </x:c>
    </x:row>
    <x:row r="4">
      <x:c r="A4" s="43" t="str">
        <x:v>조리 기본시간</x:v>
      </x:c>
      <x:c r="B4" s="41" t="n">
        <x:v>2</x:v>
      </x:c>
      <x:c r="C4" s="28" t="str">
        <x:v>판매가 비례 시간에 더하는 초</x:v>
      </x:c>
    </x:row>
    <x:row r="5">
      <x:c r="A5" s="43" t="str">
        <x:v>초당 가격</x:v>
      </x:c>
      <x:c r="B5" s="41" t="n">
        <x:v>20</x:v>
      </x:c>
      <x:c r="C5" s="28" t="str">
        <x:v>판매가 20원마다 조리시간 1초</x:v>
      </x:c>
    </x:row>
    <x:row r="6">
      <x:c r="A6" s="43" t="str">
        <x:v>최소 조리시간</x:v>
      </x:c>
      <x:c r="B6" s="41" t="n">
        <x:v>4</x:v>
      </x:c>
      <x:c r="C6" s="28" t="str">
        <x:v>초</x:v>
      </x:c>
    </x:row>
    <x:row r="7">
      <x:c r="A7" s="43" t="str">
        <x:v>최대 조리시간</x:v>
      </x:c>
      <x:c r="B7" s="41" t="n">
        <x:v>24</x:v>
      </x:c>
      <x:c r="C7" s="28" t="str">
        <x:v>초</x:v>
      </x:c>
    </x:row>
    <x:row r="8">
      <x:c r="A8" s="43" t="str">
        <x:v>조리시간 단위</x:v>
      </x:c>
      <x:c r="B8" s="41" t="n">
        <x:v>0.5</x:v>
      </x:c>
      <x:c r="C8" s="28" t="str">
        <x:v>0.5초 단위 반올림</x:v>
      </x:c>
    </x:row>
    <x:row r="9">
      <x:c r="A9" s="44" t="str">
        <x:v>레벨업 가격 상승률</x:v>
      </x:c>
      <x:c r="B9" s="42" t="n">
        <x:v>0.1</x:v>
      </x:c>
      <x:c r="C9" s="31" t="str">
        <x:v>레벨당 10%</x:v>
      </x:c>
    </x:row>
  </x:sheetData>
  <x:mergeCells>
    <x:mergeCell ref="A1:C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6" hidden="0" customWidth="1"/>
    <x:col min="4" max="4" width="15" hidden="0" customWidth="1"/>
    <x:col min="5" max="5" width="15" hidden="0" customWidth="1"/>
    <x:col min="6" max="6" width="72" hidden="0" customWidth="1"/>
  </x:cols>
  <x:sheetData>
    <x:row r="1" ht="34" customHeight="1">
      <x:c r="A1" s="48" t="str">
        <x:v>재료 사용 분석</x:v>
      </x:c>
      <x:c r="B1" s="48"/>
      <x:c r="C1" s="48"/>
      <x:c r="D1" s="48"/>
      <x:c r="E1" s="48"/>
      <x:c r="F1" s="48"/>
    </x:row>
    <x:row r="2" ht="22" customHeight="1">
      <x:c r="A2" s="52" t="str">
        <x:v>물 제외 · 41종 · 현재 레시피 51개 기준</x:v>
      </x:c>
      <x:c r="B2" s="52"/>
      <x:c r="C2" s="52"/>
      <x:c r="D2" s="52"/>
      <x:c r="E2" s="52"/>
      <x:c r="F2" s="52"/>
    </x:row>
    <x:row r="4">
      <x:c r="A4" s="55" t="str">
        <x:v>가장 많이 사용</x:v>
      </x:c>
      <x:c r="B4" s="55"/>
      <x:c r="C4" s="55"/>
      <x:c r="D4" s="84" t="str">
        <x:v>가장 적게 사용</x:v>
      </x:c>
      <x:c r="E4" s="84"/>
      <x:c r="F4" s="84"/>
    </x:row>
    <x:row r="5" ht="27" customHeight="1">
      <x:c r="A5" s="76" t="str">
        <x:v>밀가루 · 11개 레시피</x:v>
      </x:c>
      <x:c r="B5" s="77"/>
      <x:c r="C5" s="78"/>
      <x:c r="D5" s="105" t="str">
        <x:v>가지, 대구, 된장, 새싹, 아보카도, 양배추, 오이, 요거트, 우유, 트러플, 후추 · 각 1개 레시피</x:v>
      </x:c>
      <x:c r="E5" s="106"/>
      <x:c r="F5" s="107"/>
    </x:row>
    <x:row r="6" ht="27" customHeight="1">
      <x:c r="A6" s="79"/>
      <x:c r="B6" s="80"/>
      <x:c r="C6" s="81"/>
      <x:c r="D6" s="108"/>
      <x:c r="E6" s="109"/>
      <x:c r="F6" s="110"/>
    </x:row>
    <x:row r="8">
      <x:c r="A8" s="114" t="str">
        <x:v>사용 레시피 수는 같은 요리에 중복된 재료를 1회로 계산하며, 총 투입 슬롯은 중복 수량까지 포함합니다.</x:v>
      </x:c>
      <x:c r="B8" s="114"/>
      <x:c r="C8" s="114"/>
      <x:c r="D8" s="114"/>
      <x:c r="E8" s="114"/>
      <x:c r="F8" s="114"/>
    </x:row>
    <x:row r="10">
      <x:c r="A10" t="str">
        <x:v>순위</x:v>
      </x:c>
      <x:c r="B10" t="str">
        <x:v>재료</x:v>
      </x:c>
      <x:c r="C10" t="str">
        <x:v>사용 레시피 수</x:v>
      </x:c>
      <x:c r="D10" t="str">
        <x:v>총 투입 슬롯</x:v>
      </x:c>
      <x:c r="E10" t="str">
        <x:v>레시피 사용률</x:v>
      </x:c>
      <x:c r="F10" t="str">
        <x:v>사용 레시피</x:v>
      </x:c>
    </x:row>
    <x:row r="11" ht="32" customHeight="1">
      <x:c r="A11" s="12" t="n">
        <x:v>1</x:v>
      </x:c>
      <x:c r="B11" s="11" t="str">
        <x:v>밀가루</x:v>
      </x:c>
      <x:c r="C11" s="13" t="n">
        <x:v>11</x:v>
      </x:c>
      <x:c r="D11" s="13" t="n">
        <x:v>11</x:v>
      </x:c>
      <x:c r="E11" s="117" t="n">
        <x:f>C11/COUNTA('레시피 목록'!$C$5:$C$55)</x:f>
        <x:v>0.21568627450980393</x:v>
      </x:c>
      <x:c r="F11" s="118" t="str">
        <x:v>병아리콩 팬케이크, 육전, 벌레 파이, 새싹전, 바삭 벌레구이, 시나몬 롤, 진저브레드, 해바라기씨 파이, 딸기 생크림 케이크, 김치전, 양배추 딤섬</x:v>
      </x:c>
    </x:row>
    <x:row r="12" ht="32" customHeight="1">
      <x:c r="A12" s="12" t="n">
        <x:v>2</x:v>
      </x:c>
      <x:c r="B12" s="11" t="str">
        <x:v>고기</x:v>
      </x:c>
      <x:c r="C12" s="13" t="n">
        <x:v>10</x:v>
      </x:c>
      <x:c r="D12" s="13" t="n">
        <x:v>10</x:v>
      </x:c>
      <x:c r="E12" s="117" t="n">
        <x:f>C12/COUNTA('레시피 목록'!$C$5:$C$55)</x:f>
        <x:v>0.19607843137254902</x:v>
      </x:c>
      <x:c r="F12" s="118" t="str">
        <x:v>삶은 고기, 육전, 고기쌈, 열매꼬치구이, 고단백 식품, 후추 스테이크, 불고기, 양배추 딤섬, 가지 소고기 덮밥, 마늘 육회</x:v>
      </x:c>
    </x:row>
    <x:row r="13" ht="32" customHeight="1">
      <x:c r="A13" s="12" t="n">
        <x:v>3</x:v>
      </x:c>
      <x:c r="B13" s="11" t="str">
        <x:v>쌀</x:v>
      </x:c>
      <x:c r="C13" s="13" t="n">
        <x:v>9</x:v>
      </x:c>
      <x:c r="D13" s="13" t="n">
        <x:v>9</x:v>
      </x:c>
      <x:c r="E13" s="117" t="n">
        <x:f>C13/COUNTA('레시피 목록'!$C$5:$C$55)</x:f>
        <x:v>0.17647058823529413</x:v>
      </x:c>
      <x:c r="F13" s="118" t="str">
        <x:v>쌀밥, 병아리콩 밥, 트러플 크림 리조또, 계란볶음밥, 김치볶음밥, 가지 소고기 덮밥, 치즈 간장계란밥, 연어덮밥, 연어초밥</x:v>
      </x:c>
    </x:row>
    <x:row r="14" ht="32" customHeight="1">
      <x:c r="A14" s="12" t="n">
        <x:v>4</x:v>
      </x:c>
      <x:c r="B14" s="11" t="str">
        <x:v>설탕</x:v>
      </x:c>
      <x:c r="C14" s="13" t="n">
        <x:v>6</x:v>
      </x:c>
      <x:c r="D14" s="13" t="n">
        <x:v>6</x:v>
      </x:c>
      <x:c r="E14" s="117" t="n">
        <x:f>C14/COUNTA('레시피 목록'!$C$5:$C$55)</x:f>
        <x:v>0.11764705882352941</x:v>
      </x:c>
      <x:c r="F14" s="118" t="str">
        <x:v>시나몬 롤, 진저브레드, 해바라기씨 파이, 딸기 생크림 케이크, 체리 사탕, 연어초밥</x:v>
      </x:c>
    </x:row>
    <x:row r="15" ht="32" customHeight="1">
      <x:c r="A15" s="12" t="n">
        <x:v>5</x:v>
      </x:c>
      <x:c r="B15" s="11" t="str">
        <x:v>병아리콩</x:v>
      </x:c>
      <x:c r="C15" s="13" t="n">
        <x:v>5</x:v>
      </x:c>
      <x:c r="D15" s="13" t="n">
        <x:v>7</x:v>
      </x:c>
      <x:c r="E15" s="117" t="n">
        <x:f>C15/COUNTA('레시피 목록'!$C$5:$C$55)</x:f>
        <x:v>0.09803921568627451</x:v>
      </x:c>
      <x:c r="F15" s="118" t="str">
        <x:v>삶은 병아리콩, 병아리콩 가득, 병아리콩 팬케이크, 아보카도 병아리콩 샐러드, 병아리콩 밥</x:v>
      </x:c>
    </x:row>
    <x:row r="16" ht="32" customHeight="1">
      <x:c r="A16" s="12" t="n">
        <x:v>6</x:v>
      </x:c>
      <x:c r="B16" s="11" t="str">
        <x:v>꿀</x:v>
      </x:c>
      <x:c r="C16" s="13" t="n">
        <x:v>5</x:v>
      </x:c>
      <x:c r="D16" s="13" t="n">
        <x:v>5</x:v>
      </x:c>
      <x:c r="E16" s="117" t="n">
        <x:f>C16/COUNTA('레시피 목록'!$C$5:$C$55)</x:f>
        <x:v>0.09803921568627451</x:v>
      </x:c>
      <x:c r="F16" s="118" t="str">
        <x:v>계피차, 생강차, 사과 생강차, 시나몬 사과조림, 복숭아 요거트</x:v>
      </x:c>
    </x:row>
    <x:row r="17" ht="32" customHeight="1">
      <x:c r="A17" s="12" t="n">
        <x:v>7</x:v>
      </x:c>
      <x:c r="B17" s="11" t="str">
        <x:v>나뭇잎</x:v>
      </x:c>
      <x:c r="C17" s="13" t="n">
        <x:v>5</x:v>
      </x:c>
      <x:c r="D17" s="13" t="n">
        <x:v>5</x:v>
      </x:c>
      <x:c r="E17" s="117" t="n">
        <x:f>C17/COUNTA('레시피 목록'!$C$5:$C$55)</x:f>
        <x:v>0.09803921568627451</x:v>
      </x:c>
      <x:c r="F17" s="118" t="str">
        <x:v>고기쌈, 상큼 나뭇잎 샐러드, 벌레먹은 나뭇잎, 아보카도 병아리콩 샐러드, 씨앗 오이 샐러드</x:v>
      </x:c>
    </x:row>
    <x:row r="18" ht="32" customHeight="1">
      <x:c r="A18" s="12" t="n">
        <x:v>8</x:v>
      </x:c>
      <x:c r="B18" s="11" t="str">
        <x:v>양파</x:v>
      </x:c>
      <x:c r="C18" s="13" t="n">
        <x:v>5</x:v>
      </x:c>
      <x:c r="D18" s="13" t="n">
        <x:v>5</x:v>
      </x:c>
      <x:c r="E18" s="117" t="n">
        <x:f>C18/COUNTA('레시피 목록'!$C$5:$C$55)</x:f>
        <x:v>0.09803921568627451</x:v>
      </x:c>
      <x:c r="F18" s="118" t="str">
        <x:v>맑은 양파 수프, 새콤 양파절임, 불고기, 가지 소고기 덮밥, 연어덮밥</x:v>
      </x:c>
    </x:row>
    <x:row r="19" ht="32" customHeight="1">
      <x:c r="A19" s="12" t="n">
        <x:v>9</x:v>
      </x:c>
      <x:c r="B19" s="11" t="str">
        <x:v>간장</x:v>
      </x:c>
      <x:c r="C19" s="13" t="n">
        <x:v>4</x:v>
      </x:c>
      <x:c r="D19" s="13" t="n">
        <x:v>4</x:v>
      </x:c>
      <x:c r="E19" s="117" t="n">
        <x:f>C19/COUNTA('레시피 목록'!$C$5:$C$55)</x:f>
        <x:v>0.0784313725490196</x:v>
      </x:c>
      <x:c r="F19" s="118" t="str">
        <x:v>불고기, 가지 소고기 덮밥, 치즈 간장계란밥, 연어덮밥</x:v>
      </x:c>
    </x:row>
    <x:row r="20" ht="32" customHeight="1">
      <x:c r="A20" s="12" t="n">
        <x:v>10</x:v>
      </x:c>
      <x:c r="B20" s="11" t="str">
        <x:v>계란</x:v>
      </x:c>
      <x:c r="C20" s="13" t="n">
        <x:v>4</x:v>
      </x:c>
      <x:c r="D20" s="13" t="n">
        <x:v>4</x:v>
      </x:c>
      <x:c r="E20" s="117" t="n">
        <x:f>C20/COUNTA('레시피 목록'!$C$5:$C$55)</x:f>
        <x:v>0.0784313725490196</x:v>
      </x:c>
      <x:c r="F20" s="118" t="str">
        <x:v>계란볶음밥, 마늘 육회, 치즈 간장계란밥, 치즈 오믈렛</x:v>
      </x:c>
    </x:row>
    <x:row r="21" ht="32" customHeight="1">
      <x:c r="A21" s="12" t="n">
        <x:v>11</x:v>
      </x:c>
      <x:c r="B21" s="11" t="str">
        <x:v>김치</x:v>
      </x:c>
      <x:c r="C21" s="13" t="n">
        <x:v>4</x:v>
      </x:c>
      <x:c r="D21" s="13" t="n">
        <x:v>4</x:v>
      </x:c>
      <x:c r="E21" s="117" t="n">
        <x:f>C21/COUNTA('레시피 목록'!$C$5:$C$55)</x:f>
        <x:v>0.0784313725490196</x:v>
      </x:c>
      <x:c r="F21" s="118" t="str">
        <x:v>김치전, 파김치, 김치볶음밥, 마늘 김치볶음</x:v>
      </x:c>
    </x:row>
    <x:row r="22" ht="32" customHeight="1">
      <x:c r="A22" s="12" t="n">
        <x:v>12</x:v>
      </x:c>
      <x:c r="B22" s="11" t="str">
        <x:v>벌레</x:v>
      </x:c>
      <x:c r="C22" s="13" t="n">
        <x:v>4</x:v>
      </x:c>
      <x:c r="D22" s="13" t="n">
        <x:v>4</x:v>
      </x:c>
      <x:c r="E22" s="117" t="n">
        <x:f>C22/COUNTA('레시피 목록'!$C$5:$C$55)</x:f>
        <x:v>0.0784313725490196</x:v>
      </x:c>
      <x:c r="F22" s="118" t="str">
        <x:v>벌레 파이, 고단백 식품, 벌레먹은 나뭇잎, 바삭 벌레구이</x:v>
      </x:c>
    </x:row>
    <x:row r="23" ht="32" customHeight="1">
      <x:c r="A23" s="12" t="n">
        <x:v>13</x:v>
      </x:c>
      <x:c r="B23" s="11" t="str">
        <x:v>소금</x:v>
      </x:c>
      <x:c r="C23" s="13" t="n">
        <x:v>4</x:v>
      </x:c>
      <x:c r="D23" s="13" t="n">
        <x:v>4</x:v>
      </x:c>
      <x:c r="E23" s="117" t="n">
        <x:f>C23/COUNTA('레시피 목록'!$C$5:$C$55)</x:f>
        <x:v>0.0784313725490196</x:v>
      </x:c>
      <x:c r="F23" s="118" t="str">
        <x:v>바삭 벌레구이, 콘스프, 대구구이, 연어구이</x:v>
      </x:c>
    </x:row>
    <x:row r="24" ht="32" customHeight="1">
      <x:c r="A24" s="12" t="n">
        <x:v>14</x:v>
      </x:c>
      <x:c r="B24" s="11" t="str">
        <x:v>식용유</x:v>
      </x:c>
      <x:c r="C24" s="13" t="n">
        <x:v>4</x:v>
      </x:c>
      <x:c r="D24" s="13" t="n">
        <x:v>4</x:v>
      </x:c>
      <x:c r="E24" s="117" t="n">
        <x:f>C24/COUNTA('레시피 목록'!$C$5:$C$55)</x:f>
        <x:v>0.0784313725490196</x:v>
      </x:c>
      <x:c r="F24" s="118" t="str">
        <x:v>계란볶음밥, 김치볶음밥, 마늘 김치볶음, 치즈 오믈렛</x:v>
      </x:c>
    </x:row>
    <x:row r="25" ht="32" customHeight="1">
      <x:c r="A25" s="12" t="n">
        <x:v>15</x:v>
      </x:c>
      <x:c r="B25" s="11" t="str">
        <x:v>사과</x:v>
      </x:c>
      <x:c r="C25" s="13" t="n">
        <x:v>3</x:v>
      </x:c>
      <x:c r="D25" s="13" t="n">
        <x:v>3</x:v>
      </x:c>
      <x:c r="E25" s="117" t="n">
        <x:f>C25/COUNTA('레시피 목록'!$C$5:$C$55)</x:f>
        <x:v>0.058823529411764705</x:v>
      </x:c>
      <x:c r="F25" s="118" t="str">
        <x:v>사과 생강차, 시나몬 사과조림, 과일 가족 모임</x:v>
      </x:c>
    </x:row>
    <x:row r="26" ht="32" customHeight="1">
      <x:c r="A26" s="12" t="n">
        <x:v>16</x:v>
      </x:c>
      <x:c r="B26" s="11" t="str">
        <x:v>생강</x:v>
      </x:c>
      <x:c r="C26" s="13" t="n">
        <x:v>3</x:v>
      </x:c>
      <x:c r="D26" s="13" t="n">
        <x:v>3</x:v>
      </x:c>
      <x:c r="E26" s="117" t="n">
        <x:f>C26/COUNTA('레시피 목록'!$C$5:$C$55)</x:f>
        <x:v>0.058823529411764705</x:v>
      </x:c>
      <x:c r="F26" s="118" t="str">
        <x:v>생강차, 사과 생강차, 진저브레드</x:v>
      </x:c>
    </x:row>
    <x:row r="27" ht="32" customHeight="1">
      <x:c r="A27" s="12" t="n">
        <x:v>17</x:v>
      </x:c>
      <x:c r="B27" s="11" t="str">
        <x:v>생크림</x:v>
      </x:c>
      <x:c r="C27" s="13" t="n">
        <x:v>3</x:v>
      </x:c>
      <x:c r="D27" s="13" t="n">
        <x:v>3</x:v>
      </x:c>
      <x:c r="E27" s="117" t="n">
        <x:f>C27/COUNTA('레시피 목록'!$C$5:$C$55)</x:f>
        <x:v>0.058823529411764705</x:v>
      </x:c>
      <x:c r="F27" s="118" t="str">
        <x:v>콘스프, 트러플 크림 리조또, 딸기 생크림 케이크</x:v>
      </x:c>
    </x:row>
    <x:row r="28" ht="32" customHeight="1">
      <x:c r="A28" s="12" t="n">
        <x:v>18</x:v>
      </x:c>
      <x:c r="B28" s="11" t="str">
        <x:v>시나몬</x:v>
      </x:c>
      <x:c r="C28" s="13" t="n">
        <x:v>3</x:v>
      </x:c>
      <x:c r="D28" s="13" t="n">
        <x:v>3</x:v>
      </x:c>
      <x:c r="E28" s="117" t="n">
        <x:f>C28/COUNTA('레시피 목록'!$C$5:$C$55)</x:f>
        <x:v>0.058823529411764705</x:v>
      </x:c>
      <x:c r="F28" s="118" t="str">
        <x:v>계피차, 시나몬 사과조림, 시나몬 롤</x:v>
      </x:c>
    </x:row>
    <x:row r="29" ht="32" customHeight="1">
      <x:c r="A29" s="12" t="n">
        <x:v>19</x:v>
      </x:c>
      <x:c r="B29" s="11" t="str">
        <x:v>연어</x:v>
      </x:c>
      <x:c r="C29" s="13" t="n">
        <x:v>3</x:v>
      </x:c>
      <x:c r="D29" s="13" t="n">
        <x:v>3</x:v>
      </x:c>
      <x:c r="E29" s="117" t="n">
        <x:f>C29/COUNTA('레시피 목록'!$C$5:$C$55)</x:f>
        <x:v>0.058823529411764705</x:v>
      </x:c>
      <x:c r="F29" s="118" t="str">
        <x:v>연어덮밥, 연어구이, 연어초밥</x:v>
      </x:c>
    </x:row>
    <x:row r="30" ht="32" customHeight="1">
      <x:c r="A30" s="12" t="n">
        <x:v>20</x:v>
      </x:c>
      <x:c r="B30" s="11" t="str">
        <x:v>파</x:v>
      </x:c>
      <x:c r="C30" s="13" t="n">
        <x:v>3</x:v>
      </x:c>
      <x:c r="D30" s="13" t="n">
        <x:v>3</x:v>
      </x:c>
      <x:c r="E30" s="117" t="n">
        <x:f>C30/COUNTA('레시피 목록'!$C$5:$C$55)</x:f>
        <x:v>0.058823529411764705</x:v>
      </x:c>
      <x:c r="F30" s="118" t="str">
        <x:v>파김치, 양배추 딤섬, 마늘 육회</x:v>
      </x:c>
    </x:row>
    <x:row r="31" ht="32" customHeight="1">
      <x:c r="A31" s="12" t="n">
        <x:v>21</x:v>
      </x:c>
      <x:c r="B31" s="11" t="str">
        <x:v>옥수수</x:v>
      </x:c>
      <x:c r="C31" s="13" t="n">
        <x:v>2</x:v>
      </x:c>
      <x:c r="D31" s="13" t="n">
        <x:v>3</x:v>
      </x:c>
      <x:c r="E31" s="117" t="n">
        <x:f>C31/COUNTA('레시피 목록'!$C$5:$C$55)</x:f>
        <x:v>0.0392156862745098</x:v>
      </x:c>
      <x:c r="F31" s="118" t="str">
        <x:v>구운 옥수수, 콘스프</x:v>
      </x:c>
    </x:row>
    <x:row r="32" ht="32" customHeight="1">
      <x:c r="A32" s="12" t="n">
        <x:v>22</x:v>
      </x:c>
      <x:c r="B32" s="11" t="str">
        <x:v>도토리</x:v>
      </x:c>
      <x:c r="C32" s="13" t="n">
        <x:v>2</x:v>
      </x:c>
      <x:c r="D32" s="13" t="n">
        <x:v>2</x:v>
      </x:c>
      <x:c r="E32" s="117" t="n">
        <x:f>C32/COUNTA('레시피 목록'!$C$5:$C$55)</x:f>
        <x:v>0.0392156862745098</x:v>
      </x:c>
      <x:c r="F32" s="118" t="str">
        <x:v>도토리묵, 상큼 나뭇잎 샐러드</x:v>
      </x:c>
    </x:row>
    <x:row r="33" ht="32" customHeight="1">
      <x:c r="A33" s="12" t="n">
        <x:v>23</x:v>
      </x:c>
      <x:c r="B33" s="11" t="str">
        <x:v>딸기</x:v>
      </x:c>
      <x:c r="C33" s="13" t="n">
        <x:v>2</x:v>
      </x:c>
      <x:c r="D33" s="13" t="n">
        <x:v>2</x:v>
      </x:c>
      <x:c r="E33" s="117" t="n">
        <x:f>C33/COUNTA('레시피 목록'!$C$5:$C$55)</x:f>
        <x:v>0.0392156862745098</x:v>
      </x:c>
      <x:c r="F33" s="118" t="str">
        <x:v>딸기 생크림 케이크, 과일 가족 모임</x:v>
      </x:c>
    </x:row>
    <x:row r="34" ht="32" customHeight="1">
      <x:c r="A34" s="12" t="n">
        <x:v>24</x:v>
      </x:c>
      <x:c r="B34" s="11" t="str">
        <x:v>마늘</x:v>
      </x:c>
      <x:c r="C34" s="13" t="n">
        <x:v>2</x:v>
      </x:c>
      <x:c r="D34" s="13" t="n">
        <x:v>2</x:v>
      </x:c>
      <x:c r="E34" s="117" t="n">
        <x:f>C34/COUNTA('레시피 목록'!$C$5:$C$55)</x:f>
        <x:v>0.0392156862745098</x:v>
      </x:c>
      <x:c r="F34" s="118" t="str">
        <x:v>마늘 김치볶음, 마늘 육회</x:v>
      </x:c>
    </x:row>
    <x:row r="35" ht="32" customHeight="1">
      <x:c r="A35" s="12" t="n">
        <x:v>25</x:v>
      </x:c>
      <x:c r="B35" s="11" t="str">
        <x:v>복숭아</x:v>
      </x:c>
      <x:c r="C35" s="13" t="n">
        <x:v>2</x:v>
      </x:c>
      <x:c r="D35" s="13" t="n">
        <x:v>2</x:v>
      </x:c>
      <x:c r="E35" s="117" t="n">
        <x:f>C35/COUNTA('레시피 목록'!$C$5:$C$55)</x:f>
        <x:v>0.0392156862745098</x:v>
      </x:c>
      <x:c r="F35" s="118" t="str">
        <x:v>복숭아 요거트, 과일 가족 모임</x:v>
      </x:c>
    </x:row>
    <x:row r="36" ht="32" customHeight="1">
      <x:c r="A36" s="12" t="n">
        <x:v>26</x:v>
      </x:c>
      <x:c r="B36" s="11" t="str">
        <x:v>식초</x:v>
      </x:c>
      <x:c r="C36" s="13" t="n">
        <x:v>2</x:v>
      </x:c>
      <x:c r="D36" s="13" t="n">
        <x:v>2</x:v>
      </x:c>
      <x:c r="E36" s="117" t="n">
        <x:f>C36/COUNTA('레시피 목록'!$C$5:$C$55)</x:f>
        <x:v>0.0392156862745098</x:v>
      </x:c>
      <x:c r="F36" s="118" t="str">
        <x:v>새콤 양파절임, 연어초밥</x:v>
      </x:c>
    </x:row>
    <x:row r="37" ht="32" customHeight="1">
      <x:c r="A37" s="12" t="n">
        <x:v>27</x:v>
      </x:c>
      <x:c r="B37" s="11" t="str">
        <x:v>씨앗</x:v>
      </x:c>
      <x:c r="C37" s="13" t="n">
        <x:v>2</x:v>
      </x:c>
      <x:c r="D37" s="13" t="n">
        <x:v>2</x:v>
      </x:c>
      <x:c r="E37" s="117" t="n">
        <x:f>C37/COUNTA('레시피 목록'!$C$5:$C$55)</x:f>
        <x:v>0.0392156862745098</x:v>
      </x:c>
      <x:c r="F37" s="118" t="str">
        <x:v>해바라기씨 파이, 씨앗 오이 샐러드</x:v>
      </x:c>
    </x:row>
    <x:row r="38" ht="32" customHeight="1">
      <x:c r="A38" s="12" t="n">
        <x:v>28</x:v>
      </x:c>
      <x:c r="B38" s="11" t="str">
        <x:v>열매</x:v>
      </x:c>
      <x:c r="C38" s="13" t="n">
        <x:v>2</x:v>
      </x:c>
      <x:c r="D38" s="13" t="n">
        <x:v>2</x:v>
      </x:c>
      <x:c r="E38" s="117" t="n">
        <x:f>C38/COUNTA('레시피 목록'!$C$5:$C$55)</x:f>
        <x:v>0.0392156862745098</x:v>
      </x:c>
      <x:c r="F38" s="118" t="str">
        <x:v>상큼 나뭇잎 샐러드, 열매꼬치구이</x:v>
      </x:c>
    </x:row>
    <x:row r="39" ht="32" customHeight="1">
      <x:c r="A39" s="12" t="n">
        <x:v>29</x:v>
      </x:c>
      <x:c r="B39" s="11" t="str">
        <x:v>체리</x:v>
      </x:c>
      <x:c r="C39" s="13" t="n">
        <x:v>2</x:v>
      </x:c>
      <x:c r="D39" s="13" t="n">
        <x:v>2</x:v>
      </x:c>
      <x:c r="E39" s="117" t="n">
        <x:f>C39/COUNTA('레시피 목록'!$C$5:$C$55)</x:f>
        <x:v>0.0392156862745098</x:v>
      </x:c>
      <x:c r="F39" s="118" t="str">
        <x:v>체리 사탕, 과일 가족 모임</x:v>
      </x:c>
    </x:row>
    <x:row r="40" ht="32" customHeight="1">
      <x:c r="A40" s="12" t="n">
        <x:v>30</x:v>
      </x:c>
      <x:c r="B40" s="11" t="str">
        <x:v>치즈</x:v>
      </x:c>
      <x:c r="C40" s="13" t="n">
        <x:v>2</x:v>
      </x:c>
      <x:c r="D40" s="13" t="n">
        <x:v>2</x:v>
      </x:c>
      <x:c r="E40" s="117" t="n">
        <x:f>C40/COUNTA('레시피 목록'!$C$5:$C$55)</x:f>
        <x:v>0.0392156862745098</x:v>
      </x:c>
      <x:c r="F40" s="118" t="str">
        <x:v>치즈 간장계란밥, 치즈 오믈렛</x:v>
      </x:c>
    </x:row>
    <x:row r="41" ht="32" customHeight="1">
      <x:c r="A41" s="12" t="n">
        <x:v>31</x:v>
      </x:c>
      <x:c r="B41" s="11" t="str">
        <x:v>가지</x:v>
      </x:c>
      <x:c r="C41" s="13" t="n">
        <x:v>1</x:v>
      </x:c>
      <x:c r="D41" s="13" t="n">
        <x:v>1</x:v>
      </x:c>
      <x:c r="E41" s="117" t="n">
        <x:f>C41/COUNTA('레시피 목록'!$C$5:$C$55)</x:f>
        <x:v>0.0196078431372549</x:v>
      </x:c>
      <x:c r="F41" s="118" t="str">
        <x:v>가지 소고기 덮밥</x:v>
      </x:c>
    </x:row>
    <x:row r="42" ht="32" customHeight="1">
      <x:c r="A42" s="12" t="n">
        <x:v>32</x:v>
      </x:c>
      <x:c r="B42" s="11" t="str">
        <x:v>대구</x:v>
      </x:c>
      <x:c r="C42" s="13" t="n">
        <x:v>1</x:v>
      </x:c>
      <x:c r="D42" s="13" t="n">
        <x:v>1</x:v>
      </x:c>
      <x:c r="E42" s="117" t="n">
        <x:f>C42/COUNTA('레시피 목록'!$C$5:$C$55)</x:f>
        <x:v>0.0196078431372549</x:v>
      </x:c>
      <x:c r="F42" s="118" t="str">
        <x:v>대구구이</x:v>
      </x:c>
    </x:row>
    <x:row r="43" ht="32" customHeight="1">
      <x:c r="A43" s="12" t="n">
        <x:v>33</x:v>
      </x:c>
      <x:c r="B43" s="11" t="str">
        <x:v>된장</x:v>
      </x:c>
      <x:c r="C43" s="13" t="n">
        <x:v>1</x:v>
      </x:c>
      <x:c r="D43" s="13" t="n">
        <x:v>1</x:v>
      </x:c>
      <x:c r="E43" s="117" t="n">
        <x:f>C43/COUNTA('레시피 목록'!$C$5:$C$55)</x:f>
        <x:v>0.0196078431372549</x:v>
      </x:c>
      <x:c r="F43" s="118" t="str">
        <x:v>된장국</x:v>
      </x:c>
    </x:row>
    <x:row r="44" ht="32" customHeight="1">
      <x:c r="A44" s="12" t="n">
        <x:v>34</x:v>
      </x:c>
      <x:c r="B44" s="11" t="str">
        <x:v>새싹</x:v>
      </x:c>
      <x:c r="C44" s="13" t="n">
        <x:v>1</x:v>
      </x:c>
      <x:c r="D44" s="13" t="n">
        <x:v>1</x:v>
      </x:c>
      <x:c r="E44" s="117" t="n">
        <x:f>C44/COUNTA('레시피 목록'!$C$5:$C$55)</x:f>
        <x:v>0.0196078431372549</x:v>
      </x:c>
      <x:c r="F44" s="118" t="str">
        <x:v>새싹전</x:v>
      </x:c>
    </x:row>
    <x:row r="45" ht="32" customHeight="1">
      <x:c r="A45" s="12" t="n">
        <x:v>35</x:v>
      </x:c>
      <x:c r="B45" s="11" t="str">
        <x:v>아보카도</x:v>
      </x:c>
      <x:c r="C45" s="13" t="n">
        <x:v>1</x:v>
      </x:c>
      <x:c r="D45" s="13" t="n">
        <x:v>1</x:v>
      </x:c>
      <x:c r="E45" s="117" t="n">
        <x:f>C45/COUNTA('레시피 목록'!$C$5:$C$55)</x:f>
        <x:v>0.0196078431372549</x:v>
      </x:c>
      <x:c r="F45" s="118" t="str">
        <x:v>아보카도 병아리콩 샐러드</x:v>
      </x:c>
    </x:row>
    <x:row r="46" ht="32" customHeight="1">
      <x:c r="A46" s="12" t="n">
        <x:v>36</x:v>
      </x:c>
      <x:c r="B46" s="11" t="str">
        <x:v>양배추</x:v>
      </x:c>
      <x:c r="C46" s="13" t="n">
        <x:v>1</x:v>
      </x:c>
      <x:c r="D46" s="13" t="n">
        <x:v>1</x:v>
      </x:c>
      <x:c r="E46" s="117" t="n">
        <x:f>C46/COUNTA('레시피 목록'!$C$5:$C$55)</x:f>
        <x:v>0.0196078431372549</x:v>
      </x:c>
      <x:c r="F46" s="118" t="str">
        <x:v>양배추 딤섬</x:v>
      </x:c>
    </x:row>
    <x:row r="47" ht="32" customHeight="1">
      <x:c r="A47" s="12" t="n">
        <x:v>37</x:v>
      </x:c>
      <x:c r="B47" s="11" t="str">
        <x:v>오이</x:v>
      </x:c>
      <x:c r="C47" s="13" t="n">
        <x:v>1</x:v>
      </x:c>
      <x:c r="D47" s="13" t="n">
        <x:v>1</x:v>
      </x:c>
      <x:c r="E47" s="117" t="n">
        <x:f>C47/COUNTA('레시피 목록'!$C$5:$C$55)</x:f>
        <x:v>0.0196078431372549</x:v>
      </x:c>
      <x:c r="F47" s="118" t="str">
        <x:v>씨앗 오이 샐러드</x:v>
      </x:c>
    </x:row>
    <x:row r="48" ht="32" customHeight="1">
      <x:c r="A48" s="12" t="n">
        <x:v>38</x:v>
      </x:c>
      <x:c r="B48" s="11" t="str">
        <x:v>요거트</x:v>
      </x:c>
      <x:c r="C48" s="13" t="n">
        <x:v>1</x:v>
      </x:c>
      <x:c r="D48" s="13" t="n">
        <x:v>1</x:v>
      </x:c>
      <x:c r="E48" s="117" t="n">
        <x:f>C48/COUNTA('레시피 목록'!$C$5:$C$55)</x:f>
        <x:v>0.0196078431372549</x:v>
      </x:c>
      <x:c r="F48" s="118" t="str">
        <x:v>복숭아 요거트</x:v>
      </x:c>
    </x:row>
    <x:row r="49" ht="32" customHeight="1">
      <x:c r="A49" s="12" t="n">
        <x:v>39</x:v>
      </x:c>
      <x:c r="B49" s="11" t="str">
        <x:v>우유</x:v>
      </x:c>
      <x:c r="C49" s="13" t="n">
        <x:v>1</x:v>
      </x:c>
      <x:c r="D49" s="13" t="n">
        <x:v>1</x:v>
      </x:c>
      <x:c r="E49" s="117" t="n">
        <x:f>C49/COUNTA('레시피 목록'!$C$5:$C$55)</x:f>
        <x:v>0.0196078431372549</x:v>
      </x:c>
      <x:c r="F49" s="118" t="str">
        <x:v>치즈 오믈렛</x:v>
      </x:c>
    </x:row>
    <x:row r="50" ht="32" customHeight="1">
      <x:c r="A50" s="12" t="n">
        <x:v>40</x:v>
      </x:c>
      <x:c r="B50" s="11" t="str">
        <x:v>트러플</x:v>
      </x:c>
      <x:c r="C50" s="13" t="n">
        <x:v>1</x:v>
      </x:c>
      <x:c r="D50" s="13" t="n">
        <x:v>1</x:v>
      </x:c>
      <x:c r="E50" s="117" t="n">
        <x:f>C50/COUNTA('레시피 목록'!$C$5:$C$55)</x:f>
        <x:v>0.0196078431372549</x:v>
      </x:c>
      <x:c r="F50" s="118" t="str">
        <x:v>트러플 크림 리조또</x:v>
      </x:c>
    </x:row>
    <x:row r="51" ht="32" customHeight="1">
      <x:c r="A51" s="12" t="n">
        <x:v>41</x:v>
      </x:c>
      <x:c r="B51" s="11" t="str">
        <x:v>후추</x:v>
      </x:c>
      <x:c r="C51" s="13" t="n">
        <x:v>1</x:v>
      </x:c>
      <x:c r="D51" s="13" t="n">
        <x:v>1</x:v>
      </x:c>
      <x:c r="E51" s="117" t="n">
        <x:f>C51/COUNTA('레시피 목록'!$C$5:$C$55)</x:f>
        <x:v>0.0196078431372549</x:v>
      </x:c>
      <x:c r="F51" s="118" t="str">
        <x:v>후추 스테이크</x:v>
      </x:c>
    </x:row>
  </x:sheetData>
  <x:mergeCells>
    <x:mergeCell ref="A1:F1"/>
    <x:mergeCell ref="A2:F2"/>
    <x:mergeCell ref="A4:C4"/>
    <x:mergeCell ref="A5:C6"/>
    <x:mergeCell ref="D4:F4"/>
    <x:mergeCell ref="D5:F6"/>
    <x:mergeCell ref="A8:F8"/>
  </x:mergeCells>
  <x:conditionalFormatting sqref="C11:D51">
    <x:cfRule type="dataBar" priority="1">
      <x:dataBar>
        <x:cfvo type="min"/>
        <x:cfvo type="max"/>
        <x:color rgb="FF8DBB4C"/>
      </x:dataBar>
      <x:extLst>
        <x:ext xmlns:x14="http://schemas.microsoft.com/office/spreadsheetml/2009/9/main" uri="{B025F937-C7B1-47D3-B67F-A62EFF666E3E}">
          <x14:id>{AB909DEE-3FE0-C366-588B-FE4D9BFD8629}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3e0feeb3ff074ad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B909DEE-3FE0-C366-588B-FE4D9BFD8629}">
            <x14:dataBar gradient="1">
              <x14:cfvo type="min"/>
              <x14:cfvo type="max"/>
              <x14:fillColor rgb="FF8DBB4C"/>
            </x14:dataBar>
          </x14:cfRule>
          <xm:sqref>C11:D51</xm:sqref>
        </x14:conditionalFormatting>
      </x14:conditionalFormattings>
    </x:ext>
  </x:extLst>
</x:worksheet>
</file>
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f1e76bec114d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레시피 목록" sheetId="1" r:id="R32dabb83e68142e9"/>
    <x:sheet xmlns:r="http://schemas.openxmlformats.org/officeDocument/2006/relationships" name="설정" sheetId="2" r:id="Rc041bb2a8f17449f"/>
    <x:sheet xmlns:r="http://schemas.openxmlformats.org/officeDocument/2006/relationships" name="재료 사용 분석" sheetId="3" r:id="R9dc508e24fe54c7e"/>
    <x:sheet xmlns:r="http://schemas.openxmlformats.org/officeDocument/2006/relationships" name="수급 대비 분석" sheetId="4" r:id="R3393534b9ef34c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&quot;원&quot;"/>
    <x:numFmt numFmtId="201" formatCode="0.0&quot;초&quot;"/>
    <x:numFmt numFmtId="202" formatCode="0.0"/>
    <x:numFmt numFmtId="203" formatCode="0%"/>
    <x:numFmt numFmtId="204" formatCode="0.0%"/>
  </x:numFmts>
  <x:fonts count="12">
    <x:font>
      <x:sz val="11"/>
      <x:name val="Carlito"/>
    </x:font>
    <x:font>
      <x:b/>
      <x:sz val="18"/>
      <x:color rgb="FFFFFFFF"/>
      <x:name val="Carlito"/>
    </x:font>
    <x:font>
      <x:sz val="10"/>
      <x:color rgb="FF52632D"/>
      <x:name val="Carlito"/>
    </x:font>
    <x:font>
      <x:b/>
      <x:sz val="15"/>
      <x:color rgb="FFFFFFFF"/>
      <x:name val="Carlito"/>
    </x:font>
    <x:font>
      <x:b/>
      <x:sz val="11"/>
      <x:color rgb="FF5B4026"/>
      <x:name val="Carlito"/>
    </x:font>
    <x:font>
      <x:b/>
      <x:sz val="11"/>
      <x:color rgb="FF6A5139"/>
      <x:name val="Carlito"/>
    </x:font>
    <x:font>
      <x:b/>
      <x:sz val="11"/>
      <x:color rgb="FFFFFFFF"/>
      <x:name val="Carlito"/>
    </x:font>
    <x:font>
      <x:b/>
      <x:sz val="13"/>
      <x:color rgb="FF40551D"/>
      <x:name val="Carlito"/>
    </x:font>
    <x:font>
      <x:b/>
      <x:sz val="11"/>
      <x:color rgb="FF6A4A28"/>
      <x:name val="Carlito"/>
    </x:font>
    <x:font>
      <x:sz val="9"/>
      <x:color rgb="FF6D664F"/>
      <x:name val="Carlito"/>
    </x:font>
    <x:font>
      <x:b/>
      <x:sz val="11"/>
      <x:color rgb="FF743129"/>
      <x:name val="Carlito"/>
    </x:font>
    <x:font>
      <x:b/>
      <x:sz val="11"/>
      <x:color rgb="FF40551D"/>
      <x:name val="Carlito"/>
    </x:font>
  </x:fonts>
  <x:fills count="22">
    <x:fill>
      <x:patternFill patternType="none"/>
    </x:fill>
    <x:fill>
      <x:patternFill patternType="gray125"/>
    </x:fill>
    <x:fill>
      <x:patternFill patternType="solid">
        <x:fgColor rgb="FF6F8A3B"/>
      </x:patternFill>
    </x:fill>
    <x:fill>
      <x:patternFill patternType="solid">
        <x:fgColor rgb="FFEDF3D5"/>
      </x:patternFill>
    </x:fill>
    <x:fill>
      <x:patternFill patternType="solid">
        <x:fgColor rgb="FF8B6A43"/>
      </x:patternFill>
    </x:fill>
    <x:fill>
      <x:patternFill patternType="solid">
        <x:fgColor rgb="FFE9D9BC"/>
      </x:patternFill>
    </x:fill>
    <x:fill>
      <x:patternFill patternType="solid">
        <x:fgColor rgb="FF6F8A3B"/>
      </x:patternFill>
    </x:fill>
    <x:fill>
      <x:patternFill patternType="solid">
        <x:fgColor rgb="FFEDF3D5"/>
      </x:patternFill>
    </x:fill>
    <x:fill>
      <x:patternFill patternType="solid">
        <x:fgColor rgb="FF5E7C2E"/>
      </x:patternFill>
    </x:fill>
    <x:fill>
      <x:patternFill patternType="solid">
        <x:fgColor rgb="FFE8F2CF"/>
      </x:patternFill>
    </x:fill>
    <x:fill>
      <x:patternFill patternType="solid">
        <x:fgColor rgb="FFA47D47"/>
      </x:patternFill>
    </x:fill>
    <x:fill>
      <x:patternFill patternType="solid">
        <x:fgColor rgb="FFF4E8D4"/>
      </x:patternFill>
    </x:fill>
    <x:fill>
      <x:patternFill patternType="solid">
        <x:fgColor rgb="FFF5F2E8"/>
      </x:patternFill>
    </x:fill>
    <x:fill>
      <x:patternFill patternType="solid">
        <x:fgColor rgb="FF6F8A3B"/>
      </x:patternFill>
    </x:fill>
    <x:fill>
      <x:patternFill patternType="solid">
        <x:fgColor rgb="FFEDF3D5"/>
      </x:patternFill>
    </x:fill>
    <x:fill>
      <x:patternFill patternType="solid">
        <x:fgColor rgb="FFA47D47"/>
      </x:patternFill>
    </x:fill>
    <x:fill>
      <x:patternFill patternType="solid">
        <x:fgColor rgb="FFF4E8D4"/>
      </x:patternFill>
    </x:fill>
    <x:fill>
      <x:patternFill patternType="solid">
        <x:fgColor rgb="FFB14C3F"/>
      </x:patternFill>
    </x:fill>
    <x:fill>
      <x:patternFill patternType="solid">
        <x:fgColor rgb="FFF7DDD7"/>
      </x:patternFill>
    </x:fill>
    <x:fill>
      <x:patternFill patternType="solid">
        <x:fgColor rgb="FF5E7C2E"/>
      </x:patternFill>
    </x:fill>
    <x:fill>
      <x:patternFill patternType="solid">
        <x:fgColor rgb="FFE8F2CF"/>
      </x:patternFill>
    </x:fill>
    <x:fill>
      <x:patternFill patternType="solid">
        <x:fgColor rgb="FFF5F2E8"/>
      </x:patternFill>
    </x:fill>
  </x:fills>
  <x:borders count="40">
    <x:border/>
    <x:border>
      <x:right style="thin">
        <x:color rgb="FFD8CCB9"/>
      </x:right>
      <x:bottom style="thin">
        <x:color rgb="FFD8CCB9"/>
      </x:bottom>
    </x:border>
    <x:border>
      <x:left style="thin">
        <x:color rgb="FFD8CCB9"/>
      </x:left>
      <x:right style="thin">
        <x:color rgb="FFD8CCB9"/>
      </x:right>
      <x:bottom style="thin">
        <x:color rgb="FFD8CCB9"/>
      </x:bottom>
    </x:border>
    <x:border>
      <x:left style="thin">
        <x:color rgb="FFD8CCB9"/>
      </x:left>
      <x:bottom style="thin">
        <x:color rgb="FFD8CCB9"/>
      </x:bottom>
    </x:border>
    <x:border>
      <x:right style="thin">
        <x:color rgb="FFD8CCB9"/>
      </x:right>
      <x:top style="thin">
        <x:color rgb="FFD8CCB9"/>
      </x:top>
      <x:bottom style="thin">
        <x:color rgb="FFD8CCB9"/>
      </x:bottom>
    </x:border>
    <x:border>
      <x:left style="thin">
        <x:color rgb="FFD8CCB9"/>
      </x:left>
      <x:right style="thin">
        <x:color rgb="FFD8CCB9"/>
      </x:right>
      <x:top style="thin">
        <x:color rgb="FFD8CCB9"/>
      </x:top>
      <x:bottom style="thin">
        <x:color rgb="FFD8CCB9"/>
      </x:bottom>
    </x:border>
    <x:border>
      <x:left style="thin">
        <x:color rgb="FFD8CCB9"/>
      </x:left>
      <x:top style="thin">
        <x:color rgb="FFD8CCB9"/>
      </x:top>
      <x:bottom style="thin">
        <x:color rgb="FFD8CCB9"/>
      </x:bottom>
    </x:border>
    <x:border>
      <x:right style="thin">
        <x:color rgb="FFD8CCB9"/>
      </x:right>
      <x:top style="thin">
        <x:color rgb="FFD8CCB9"/>
      </x:top>
    </x:border>
    <x:border>
      <x:left style="thin">
        <x:color rgb="FFD8CCB9"/>
      </x:left>
      <x:right style="thin">
        <x:color rgb="FFD8CCB9"/>
      </x:right>
      <x:top style="thin">
        <x:color rgb="FFD8CCB9"/>
      </x:top>
    </x:border>
    <x:border>
      <x:left style="thin">
        <x:color rgb="FFD8CCB9"/>
      </x:left>
      <x:top style="thin">
        <x:color rgb="FFD8CCB9"/>
      </x:top>
    </x:border>
    <x:border>
      <x:left style="medium">
        <x:color rgb="FF8AA557"/>
      </x:left>
      <x:top style="medium">
        <x:color rgb="FF8AA557"/>
      </x:top>
    </x:border>
    <x:border>
      <x:top style="medium">
        <x:color rgb="FF8AA557"/>
      </x:top>
    </x:border>
    <x:border>
      <x:right style="medium">
        <x:color rgb="FF8AA557"/>
      </x:right>
      <x:top style="medium">
        <x:color rgb="FF8AA557"/>
      </x:top>
    </x:border>
    <x:border>
      <x:left style="medium">
        <x:color rgb="FF8AA557"/>
      </x:left>
      <x:bottom style="medium">
        <x:color rgb="FF8AA557"/>
      </x:bottom>
    </x:border>
    <x:border>
      <x:bottom style="medium">
        <x:color rgb="FF8AA557"/>
      </x:bottom>
    </x:border>
    <x:border>
      <x:right style="medium">
        <x:color rgb="FF8AA557"/>
      </x:right>
      <x:bottom style="medium">
        <x:color rgb="FF8AA557"/>
      </x:bottom>
    </x:border>
    <x:border>
      <x:left style="medium">
        <x:color rgb="FFC69A62"/>
      </x:left>
      <x:top style="medium">
        <x:color rgb="FFC69A62"/>
      </x:top>
    </x:border>
    <x:border>
      <x:top style="medium">
        <x:color rgb="FFC69A62"/>
      </x:top>
    </x:border>
    <x:border>
      <x:right style="medium">
        <x:color rgb="FFC69A62"/>
      </x:right>
      <x:top style="medium">
        <x:color rgb="FFC69A62"/>
      </x:top>
    </x:border>
    <x:border>
      <x:left style="medium">
        <x:color rgb="FFC69A62"/>
      </x:left>
      <x:bottom style="medium">
        <x:color rgb="FFC69A62"/>
      </x:bottom>
    </x:border>
    <x:border>
      <x:bottom style="medium">
        <x:color rgb="FFC69A62"/>
      </x:bottom>
    </x:border>
    <x:border>
      <x:right style="medium">
        <x:color rgb="FFC69A62"/>
      </x:right>
      <x:bottom style="medium">
        <x:color rgb="FFC69A62"/>
      </x:bottom>
    </x:border>
    <x:border>
      <x:left style="medium">
        <x:color rgb="FFA47D47"/>
      </x:left>
      <x:top style="medium">
        <x:color rgb="FFA47D47"/>
      </x:top>
    </x:border>
    <x:border>
      <x:top style="medium">
        <x:color rgb="FFA47D47"/>
      </x:top>
    </x:border>
    <x:border>
      <x:right style="medium">
        <x:color rgb="FFA47D47"/>
      </x:right>
      <x:top style="medium">
        <x:color rgb="FFA47D47"/>
      </x:top>
    </x:border>
    <x:border>
      <x:left style="medium">
        <x:color rgb="FFA47D47"/>
      </x:left>
      <x:bottom style="medium">
        <x:color rgb="FFA47D47"/>
      </x:bottom>
    </x:border>
    <x:border>
      <x:bottom style="medium">
        <x:color rgb="FFA47D47"/>
      </x:bottom>
    </x:border>
    <x:border>
      <x:right style="medium">
        <x:color rgb="FFA47D47"/>
      </x:right>
      <x:bottom style="medium">
        <x:color rgb="FFA47D47"/>
      </x:bottom>
    </x:border>
    <x:border>
      <x:left style="medium">
        <x:color rgb="FFB14C3F"/>
      </x:left>
      <x:top style="medium">
        <x:color rgb="FFB14C3F"/>
      </x:top>
    </x:border>
    <x:border>
      <x:top style="medium">
        <x:color rgb="FFB14C3F"/>
      </x:top>
    </x:border>
    <x:border>
      <x:right style="medium">
        <x:color rgb="FFB14C3F"/>
      </x:right>
      <x:top style="medium">
        <x:color rgb="FFB14C3F"/>
      </x:top>
    </x:border>
    <x:border>
      <x:left style="medium">
        <x:color rgb="FFB14C3F"/>
      </x:left>
      <x:bottom style="medium">
        <x:color rgb="FFB14C3F"/>
      </x:bottom>
    </x:border>
    <x:border>
      <x:bottom style="medium">
        <x:color rgb="FFB14C3F"/>
      </x:bottom>
    </x:border>
    <x:border>
      <x:right style="medium">
        <x:color rgb="FFB14C3F"/>
      </x:right>
      <x:bottom style="medium">
        <x:color rgb="FFB14C3F"/>
      </x:bottom>
    </x:border>
    <x:border>
      <x:left style="medium">
        <x:color rgb="FF5E7C2E"/>
      </x:left>
      <x:top style="medium">
        <x:color rgb="FF5E7C2E"/>
      </x:top>
    </x:border>
    <x:border>
      <x:top style="medium">
        <x:color rgb="FF5E7C2E"/>
      </x:top>
    </x:border>
    <x:border>
      <x:right style="medium">
        <x:color rgb="FF5E7C2E"/>
      </x:right>
      <x:top style="medium">
        <x:color rgb="FF5E7C2E"/>
      </x:top>
    </x:border>
    <x:border>
      <x:left style="medium">
        <x:color rgb="FF5E7C2E"/>
      </x:left>
      <x:bottom style="medium">
        <x:color rgb="FF5E7C2E"/>
      </x:bottom>
    </x:border>
    <x:border>
      <x:bottom style="medium">
        <x:color rgb="FF5E7C2E"/>
      </x:bottom>
    </x:border>
    <x:border>
      <x:right style="medium">
        <x:color rgb="FF5E7C2E"/>
      </x:right>
      <x:bottom style="medium">
        <x:color rgb="FF5E7C2E"/>
      </x:bottom>
    </x:border>
  </x:borders>
  <x:cellStyleXfs count="1">
    <x:xf numFmtId="0" fontId="0" fillId="0" borderId="0"/>
  </x:cellStyleXfs>
  <x:cellXfs count="2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horizontal="right" vertical="center" wrapText="0"/>
    </x:xf>
    <x:xf numFmtId="200" fontId="0" fillId="0" borderId="0" xfId="0" applyNumberFormat="1" applyFont="1" applyFill="1" applyBorder="1" applyAlignment="1">
      <x:alignment horizontal="right" vertical="center" wrapText="0"/>
    </x:xf>
    <x:xf numFmtId="201" fontId="0" fillId="0" borderId="0" xfId="0" applyNumberFormat="1" applyFont="1" applyFill="1" applyBorder="1" applyAlignment="1">
      <x:alignment horizontal="right" vertical="center" wrapText="0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202" fontId="0" fillId="0" borderId="5" xfId="0" applyNumberFormat="1" applyFont="1" applyFill="1" applyBorder="1"/>
    <x:xf numFmtId="203" fontId="0" fillId="0" borderId="8" xfId="0" applyNumberFormat="1" applyFont="1" applyFill="1" applyBorder="1"/>
    <x:xf numFmtId="0" fontId="5" fillId="0" borderId="4" xfId="0" applyNumberFormat="1" applyFont="1" applyFill="1" applyBorder="1"/>
    <x:xf numFmtId="0" fontId="5" fillId="0" borderId="7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0" fontId="2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10" xfId="0" applyNumberFormat="1" applyFont="1" applyFill="1" applyBorder="1"/>
    <x:xf numFmtId="0" fontId="7" fillId="9" borderId="11" xfId="0" applyNumberFormat="1" applyFont="1" applyFill="1" applyBorder="1"/>
    <x:xf numFmtId="0" fontId="7" fillId="9" borderId="12" xfId="0" applyNumberFormat="1" applyFont="1" applyFill="1" applyBorder="1"/>
    <x:xf numFmtId="0" fontId="7" fillId="9" borderId="13" xfId="0" applyNumberFormat="1" applyFont="1" applyFill="1" applyBorder="1"/>
    <x:xf numFmtId="0" fontId="7" fillId="9" borderId="14" xfId="0" applyNumberFormat="1" applyFont="1" applyFill="1" applyBorder="1"/>
    <x:xf numFmtId="0" fontId="7" fillId="9" borderId="15" xfId="0" applyNumberFormat="1" applyFont="1" applyFill="1" applyBorder="1"/>
    <x:xf numFmtId="0" fontId="7" fillId="9" borderId="10" xfId="0" applyNumberFormat="1" applyFont="1" applyFill="1" applyBorder="1" applyAlignment="1">
      <x:alignment wrapText="1"/>
    </x:xf>
    <x:xf numFmtId="0" fontId="7" fillId="9" borderId="11" xfId="0" applyNumberFormat="1" applyFont="1" applyFill="1" applyBorder="1" applyAlignment="1">
      <x:alignment wrapText="1"/>
    </x:xf>
    <x:xf numFmtId="0" fontId="7" fillId="9" borderId="12" xfId="0" applyNumberFormat="1" applyFont="1" applyFill="1" applyBorder="1" applyAlignment="1">
      <x:alignment wrapText="1"/>
    </x:xf>
    <x:xf numFmtId="0" fontId="7" fillId="9" borderId="13" xfId="0" applyNumberFormat="1" applyFont="1" applyFill="1" applyBorder="1" applyAlignment="1">
      <x:alignment wrapText="1"/>
    </x:xf>
    <x:xf numFmtId="0" fontId="7" fillId="9" borderId="14" xfId="0" applyNumberFormat="1" applyFont="1" applyFill="1" applyBorder="1" applyAlignment="1">
      <x:alignment wrapText="1"/>
    </x:xf>
    <x:xf numFmtId="0" fontId="7" fillId="9" borderId="15" xfId="0" applyNumberFormat="1" applyFont="1" applyFill="1" applyBorder="1" applyAlignment="1">
      <x:alignment wrapText="1"/>
    </x:xf>
    <x:xf numFmtId="0" fontId="7" fillId="9" borderId="10" xfId="0" applyNumberFormat="1" applyFont="1" applyFill="1" applyBorder="1" applyAlignment="1">
      <x:alignment horizontal="center" wrapText="1"/>
    </x:xf>
    <x:xf numFmtId="0" fontId="7" fillId="9" borderId="11" xfId="0" applyNumberFormat="1" applyFont="1" applyFill="1" applyBorder="1" applyAlignment="1">
      <x:alignment horizontal="center" wrapText="1"/>
    </x:xf>
    <x:xf numFmtId="0" fontId="7" fillId="9" borderId="12" xfId="0" applyNumberFormat="1" applyFont="1" applyFill="1" applyBorder="1" applyAlignment="1">
      <x:alignment horizontal="center" wrapText="1"/>
    </x:xf>
    <x:xf numFmtId="0" fontId="7" fillId="9" borderId="13" xfId="0" applyNumberFormat="1" applyFont="1" applyFill="1" applyBorder="1" applyAlignment="1">
      <x:alignment horizontal="center" wrapText="1"/>
    </x:xf>
    <x:xf numFmtId="0" fontId="7" fillId="9" borderId="14" xfId="0" applyNumberFormat="1" applyFont="1" applyFill="1" applyBorder="1" applyAlignment="1">
      <x:alignment horizontal="center" wrapText="1"/>
    </x:xf>
    <x:xf numFmtId="0" fontId="7" fillId="9" borderId="15" xfId="0" applyNumberFormat="1" applyFont="1" applyFill="1" applyBorder="1" applyAlignment="1">
      <x:alignment horizontal="center" wrapText="1"/>
    </x:xf>
    <x:xf numFmtId="0" fontId="7" fillId="9" borderId="10" xfId="0" applyNumberFormat="1" applyFont="1" applyFill="1" applyBorder="1" applyAlignment="1">
      <x:alignment horizontal="center" vertical="center" wrapText="1"/>
    </x:xf>
    <x:xf numFmtId="0" fontId="7" fillId="9" borderId="11" xfId="0" applyNumberFormat="1" applyFont="1" applyFill="1" applyBorder="1" applyAlignment="1">
      <x:alignment horizontal="center" vertical="center" wrapText="1"/>
    </x:xf>
    <x:xf numFmtId="0" fontId="7" fillId="9" borderId="12" xfId="0" applyNumberFormat="1" applyFont="1" applyFill="1" applyBorder="1" applyAlignment="1">
      <x:alignment horizontal="center" vertical="center" wrapText="1"/>
    </x:xf>
    <x:xf numFmtId="0" fontId="7" fillId="9" borderId="13" xfId="0" applyNumberFormat="1" applyFont="1" applyFill="1" applyBorder="1" applyAlignment="1">
      <x:alignment horizontal="center" vertical="center" wrapText="1"/>
    </x:xf>
    <x:xf numFmtId="0" fontId="7" fillId="9" borderId="14" xfId="0" applyNumberFormat="1" applyFont="1" applyFill="1" applyBorder="1" applyAlignment="1">
      <x:alignment horizontal="center" vertical="center" wrapText="1"/>
    </x:xf>
    <x:xf numFmtId="0" fontId="7" fillId="9" borderId="15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16" xfId="0" applyNumberFormat="1" applyFont="1" applyFill="1" applyBorder="1"/>
    <x:xf numFmtId="0" fontId="8" fillId="11" borderId="17" xfId="0" applyNumberFormat="1" applyFont="1" applyFill="1" applyBorder="1"/>
    <x:xf numFmtId="0" fontId="8" fillId="11" borderId="18" xfId="0" applyNumberFormat="1" applyFont="1" applyFill="1" applyBorder="1"/>
    <x:xf numFmtId="0" fontId="8" fillId="11" borderId="19" xfId="0" applyNumberFormat="1" applyFont="1" applyFill="1" applyBorder="1"/>
    <x:xf numFmtId="0" fontId="8" fillId="11" borderId="20" xfId="0" applyNumberFormat="1" applyFont="1" applyFill="1" applyBorder="1"/>
    <x:xf numFmtId="0" fontId="8" fillId="11" borderId="21" xfId="0" applyNumberFormat="1" applyFont="1" applyFill="1" applyBorder="1"/>
    <x:xf numFmtId="0" fontId="8" fillId="11" borderId="16" xfId="0" applyNumberFormat="1" applyFont="1" applyFill="1" applyBorder="1" applyAlignment="1">
      <x:alignment wrapText="1"/>
    </x:xf>
    <x:xf numFmtId="0" fontId="8" fillId="11" borderId="17" xfId="0" applyNumberFormat="1" applyFont="1" applyFill="1" applyBorder="1" applyAlignment="1">
      <x:alignment wrapText="1"/>
    </x:xf>
    <x:xf numFmtId="0" fontId="8" fillId="11" borderId="18" xfId="0" applyNumberFormat="1" applyFont="1" applyFill="1" applyBorder="1" applyAlignment="1">
      <x:alignment wrapText="1"/>
    </x:xf>
    <x:xf numFmtId="0" fontId="8" fillId="11" borderId="19" xfId="0" applyNumberFormat="1" applyFont="1" applyFill="1" applyBorder="1" applyAlignment="1">
      <x:alignment wrapText="1"/>
    </x:xf>
    <x:xf numFmtId="0" fontId="8" fillId="11" borderId="20" xfId="0" applyNumberFormat="1" applyFont="1" applyFill="1" applyBorder="1" applyAlignment="1">
      <x:alignment wrapText="1"/>
    </x:xf>
    <x:xf numFmtId="0" fontId="8" fillId="11" borderId="21" xfId="0" applyNumberFormat="1" applyFont="1" applyFill="1" applyBorder="1" applyAlignment="1">
      <x:alignment wrapText="1"/>
    </x:xf>
    <x:xf numFmtId="0" fontId="8" fillId="11" borderId="16" xfId="0" applyNumberFormat="1" applyFont="1" applyFill="1" applyBorder="1" applyAlignment="1">
      <x:alignment horizontal="center" wrapText="1"/>
    </x:xf>
    <x:xf numFmtId="0" fontId="8" fillId="11" borderId="17" xfId="0" applyNumberFormat="1" applyFont="1" applyFill="1" applyBorder="1" applyAlignment="1">
      <x:alignment horizontal="center" wrapText="1"/>
    </x:xf>
    <x:xf numFmtId="0" fontId="8" fillId="11" borderId="18" xfId="0" applyNumberFormat="1" applyFont="1" applyFill="1" applyBorder="1" applyAlignment="1">
      <x:alignment horizontal="center" wrapText="1"/>
    </x:xf>
    <x:xf numFmtId="0" fontId="8" fillId="11" borderId="19" xfId="0" applyNumberFormat="1" applyFont="1" applyFill="1" applyBorder="1" applyAlignment="1">
      <x:alignment horizontal="center" wrapText="1"/>
    </x:xf>
    <x:xf numFmtId="0" fontId="8" fillId="11" borderId="20" xfId="0" applyNumberFormat="1" applyFont="1" applyFill="1" applyBorder="1" applyAlignment="1">
      <x:alignment horizontal="center" wrapText="1"/>
    </x:xf>
    <x:xf numFmtId="0" fontId="8" fillId="11" borderId="21" xfId="0" applyNumberFormat="1" applyFont="1" applyFill="1" applyBorder="1" applyAlignment="1">
      <x:alignment horizontal="center" wrapText="1"/>
    </x:xf>
    <x:xf numFmtId="0" fontId="8" fillId="11" borderId="16" xfId="0" applyNumberFormat="1" applyFont="1" applyFill="1" applyBorder="1" applyAlignment="1">
      <x:alignment horizontal="center" vertical="center" wrapText="1"/>
    </x:xf>
    <x:xf numFmtId="0" fontId="8" fillId="11" borderId="17" xfId="0" applyNumberFormat="1" applyFont="1" applyFill="1" applyBorder="1" applyAlignment="1">
      <x:alignment horizontal="center" vertical="center" wrapText="1"/>
    </x:xf>
    <x:xf numFmtId="0" fontId="8" fillId="11" borderId="18" xfId="0" applyNumberFormat="1" applyFont="1" applyFill="1" applyBorder="1" applyAlignment="1">
      <x:alignment horizontal="center" vertical="center" wrapText="1"/>
    </x:xf>
    <x:xf numFmtId="0" fontId="8" fillId="11" borderId="19" xfId="0" applyNumberFormat="1" applyFont="1" applyFill="1" applyBorder="1" applyAlignment="1">
      <x:alignment horizontal="center" vertical="center" wrapText="1"/>
    </x:xf>
    <x:xf numFmtId="0" fontId="8" fillId="11" borderId="20" xfId="0" applyNumberFormat="1" applyFont="1" applyFill="1" applyBorder="1" applyAlignment="1">
      <x:alignment horizontal="center" vertical="center" wrapText="1"/>
    </x:xf>
    <x:xf numFmtId="0" fontId="8" fillId="11" borderId="21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horizontal="left"/>
    </x:xf>
    <x:xf numFmtId="0" fontId="9" fillId="12" borderId="0" xfId="0" applyNumberFormat="1" applyFont="1" applyFill="1" applyBorder="1" applyAlignment="1">
      <x:alignment horizontal="left" vertical="center"/>
    </x:xf>
    <x:xf numFmtId="204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horizontal="center"/>
    </x:xf>
    <x:xf numFmtId="0" fontId="1" fillId="13" borderId="0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horizontal="center"/>
    </x:xf>
    <x:xf numFmtId="0" fontId="2" fillId="14" borderId="0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/>
    <x:xf numFmtId="0" fontId="6" fillId="15" borderId="0" xfId="0" applyNumberFormat="1" applyFont="1" applyFill="1" applyBorder="1"/>
    <x:xf numFmtId="0" fontId="6" fillId="15" borderId="0" xfId="0" applyNumberFormat="1" applyFont="1" applyFill="1" applyBorder="1" applyAlignment="1">
      <x:alignment horizontal="center"/>
    </x:xf>
    <x:xf numFmtId="0" fontId="0" fillId="16" borderId="0" xfId="0" applyNumberFormat="1" applyFont="1" applyFill="1" applyBorder="1"/>
    <x:xf numFmtId="0" fontId="8" fillId="16" borderId="0" xfId="0" applyNumberFormat="1" applyFont="1" applyFill="1" applyBorder="1"/>
    <x:xf numFmtId="0" fontId="8" fillId="16" borderId="22" xfId="0" applyNumberFormat="1" applyFont="1" applyFill="1" applyBorder="1"/>
    <x:xf numFmtId="0" fontId="8" fillId="16" borderId="23" xfId="0" applyNumberFormat="1" applyFont="1" applyFill="1" applyBorder="1"/>
    <x:xf numFmtId="0" fontId="8" fillId="16" borderId="24" xfId="0" applyNumberFormat="1" applyFont="1" applyFill="1" applyBorder="1"/>
    <x:xf numFmtId="0" fontId="8" fillId="16" borderId="25" xfId="0" applyNumberFormat="1" applyFont="1" applyFill="1" applyBorder="1"/>
    <x:xf numFmtId="0" fontId="8" fillId="16" borderId="26" xfId="0" applyNumberFormat="1" applyFont="1" applyFill="1" applyBorder="1"/>
    <x:xf numFmtId="0" fontId="8" fillId="16" borderId="27" xfId="0" applyNumberFormat="1" applyFont="1" applyFill="1" applyBorder="1"/>
    <x:xf numFmtId="0" fontId="8" fillId="16" borderId="22" xfId="0" applyNumberFormat="1" applyFont="1" applyFill="1" applyBorder="1" applyAlignment="1">
      <x:alignment wrapText="1"/>
    </x:xf>
    <x:xf numFmtId="0" fontId="8" fillId="16" borderId="23" xfId="0" applyNumberFormat="1" applyFont="1" applyFill="1" applyBorder="1" applyAlignment="1">
      <x:alignment wrapText="1"/>
    </x:xf>
    <x:xf numFmtId="0" fontId="8" fillId="16" borderId="24" xfId="0" applyNumberFormat="1" applyFont="1" applyFill="1" applyBorder="1" applyAlignment="1">
      <x:alignment wrapText="1"/>
    </x:xf>
    <x:xf numFmtId="0" fontId="8" fillId="16" borderId="25" xfId="0" applyNumberFormat="1" applyFont="1" applyFill="1" applyBorder="1" applyAlignment="1">
      <x:alignment wrapText="1"/>
    </x:xf>
    <x:xf numFmtId="0" fontId="8" fillId="16" borderId="26" xfId="0" applyNumberFormat="1" applyFont="1" applyFill="1" applyBorder="1" applyAlignment="1">
      <x:alignment wrapText="1"/>
    </x:xf>
    <x:xf numFmtId="0" fontId="8" fillId="16" borderId="27" xfId="0" applyNumberFormat="1" applyFont="1" applyFill="1" applyBorder="1" applyAlignment="1">
      <x:alignment wrapText="1"/>
    </x:xf>
    <x:xf numFmtId="0" fontId="8" fillId="16" borderId="22" xfId="0" applyNumberFormat="1" applyFont="1" applyFill="1" applyBorder="1" applyAlignment="1">
      <x:alignment horizontal="center" wrapText="1"/>
    </x:xf>
    <x:xf numFmtId="0" fontId="8" fillId="16" borderId="23" xfId="0" applyNumberFormat="1" applyFont="1" applyFill="1" applyBorder="1" applyAlignment="1">
      <x:alignment horizontal="center" wrapText="1"/>
    </x:xf>
    <x:xf numFmtId="0" fontId="8" fillId="16" borderId="24" xfId="0" applyNumberFormat="1" applyFont="1" applyFill="1" applyBorder="1" applyAlignment="1">
      <x:alignment horizontal="center" wrapText="1"/>
    </x:xf>
    <x:xf numFmtId="0" fontId="8" fillId="16" borderId="25" xfId="0" applyNumberFormat="1" applyFont="1" applyFill="1" applyBorder="1" applyAlignment="1">
      <x:alignment horizontal="center" wrapText="1"/>
    </x:xf>
    <x:xf numFmtId="0" fontId="8" fillId="16" borderId="26" xfId="0" applyNumberFormat="1" applyFont="1" applyFill="1" applyBorder="1" applyAlignment="1">
      <x:alignment horizontal="center" wrapText="1"/>
    </x:xf>
    <x:xf numFmtId="0" fontId="8" fillId="16" borderId="27" xfId="0" applyNumberFormat="1" applyFont="1" applyFill="1" applyBorder="1" applyAlignment="1">
      <x:alignment horizontal="center" wrapText="1"/>
    </x:xf>
    <x:xf numFmtId="0" fontId="8" fillId="16" borderId="22" xfId="0" applyNumberFormat="1" applyFont="1" applyFill="1" applyBorder="1" applyAlignment="1">
      <x:alignment horizontal="center" vertical="center" wrapText="1"/>
    </x:xf>
    <x:xf numFmtId="0" fontId="8" fillId="16" borderId="23" xfId="0" applyNumberFormat="1" applyFont="1" applyFill="1" applyBorder="1" applyAlignment="1">
      <x:alignment horizontal="center" vertical="center" wrapText="1"/>
    </x:xf>
    <x:xf numFmtId="0" fontId="8" fillId="16" borderId="24" xfId="0" applyNumberFormat="1" applyFont="1" applyFill="1" applyBorder="1" applyAlignment="1">
      <x:alignment horizontal="center" vertical="center" wrapText="1"/>
    </x:xf>
    <x:xf numFmtId="0" fontId="8" fillId="16" borderId="25" xfId="0" applyNumberFormat="1" applyFont="1" applyFill="1" applyBorder="1" applyAlignment="1">
      <x:alignment horizontal="center" vertical="center" wrapText="1"/>
    </x:xf>
    <x:xf numFmtId="0" fontId="8" fillId="16" borderId="26" xfId="0" applyNumberFormat="1" applyFont="1" applyFill="1" applyBorder="1" applyAlignment="1">
      <x:alignment horizontal="center" vertical="center" wrapText="1"/>
    </x:xf>
    <x:xf numFmtId="0" fontId="8" fillId="16" borderId="27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6" fillId="17" borderId="0" xfId="0" applyNumberFormat="1" applyFont="1" applyFill="1" applyBorder="1"/>
    <x:xf numFmtId="0" fontId="6" fillId="17" borderId="0" xfId="0" applyNumberFormat="1" applyFont="1" applyFill="1" applyBorder="1" applyAlignment="1">
      <x:alignment horizontal="center"/>
    </x:xf>
    <x:xf numFmtId="0" fontId="0" fillId="18" borderId="0" xfId="0" applyNumberFormat="1" applyFont="1" applyFill="1" applyBorder="1"/>
    <x:xf numFmtId="0" fontId="10" fillId="18" borderId="0" xfId="0" applyNumberFormat="1" applyFont="1" applyFill="1" applyBorder="1"/>
    <x:xf numFmtId="0" fontId="10" fillId="18" borderId="28" xfId="0" applyNumberFormat="1" applyFont="1" applyFill="1" applyBorder="1"/>
    <x:xf numFmtId="0" fontId="10" fillId="18" borderId="29" xfId="0" applyNumberFormat="1" applyFont="1" applyFill="1" applyBorder="1"/>
    <x:xf numFmtId="0" fontId="10" fillId="18" borderId="30" xfId="0" applyNumberFormat="1" applyFont="1" applyFill="1" applyBorder="1"/>
    <x:xf numFmtId="0" fontId="10" fillId="18" borderId="31" xfId="0" applyNumberFormat="1" applyFont="1" applyFill="1" applyBorder="1"/>
    <x:xf numFmtId="0" fontId="10" fillId="18" borderId="32" xfId="0" applyNumberFormat="1" applyFont="1" applyFill="1" applyBorder="1"/>
    <x:xf numFmtId="0" fontId="10" fillId="18" borderId="33" xfId="0" applyNumberFormat="1" applyFont="1" applyFill="1" applyBorder="1"/>
    <x:xf numFmtId="0" fontId="10" fillId="18" borderId="28" xfId="0" applyNumberFormat="1" applyFont="1" applyFill="1" applyBorder="1" applyAlignment="1">
      <x:alignment wrapText="1"/>
    </x:xf>
    <x:xf numFmtId="0" fontId="10" fillId="18" borderId="29" xfId="0" applyNumberFormat="1" applyFont="1" applyFill="1" applyBorder="1" applyAlignment="1">
      <x:alignment wrapText="1"/>
    </x:xf>
    <x:xf numFmtId="0" fontId="10" fillId="18" borderId="30" xfId="0" applyNumberFormat="1" applyFont="1" applyFill="1" applyBorder="1" applyAlignment="1">
      <x:alignment wrapText="1"/>
    </x:xf>
    <x:xf numFmtId="0" fontId="10" fillId="18" borderId="31" xfId="0" applyNumberFormat="1" applyFont="1" applyFill="1" applyBorder="1" applyAlignment="1">
      <x:alignment wrapText="1"/>
    </x:xf>
    <x:xf numFmtId="0" fontId="10" fillId="18" borderId="32" xfId="0" applyNumberFormat="1" applyFont="1" applyFill="1" applyBorder="1" applyAlignment="1">
      <x:alignment wrapText="1"/>
    </x:xf>
    <x:xf numFmtId="0" fontId="10" fillId="18" borderId="33" xfId="0" applyNumberFormat="1" applyFont="1" applyFill="1" applyBorder="1" applyAlignment="1">
      <x:alignment wrapText="1"/>
    </x:xf>
    <x:xf numFmtId="0" fontId="10" fillId="18" borderId="28" xfId="0" applyNumberFormat="1" applyFont="1" applyFill="1" applyBorder="1" applyAlignment="1">
      <x:alignment horizontal="center" wrapText="1"/>
    </x:xf>
    <x:xf numFmtId="0" fontId="10" fillId="18" borderId="29" xfId="0" applyNumberFormat="1" applyFont="1" applyFill="1" applyBorder="1" applyAlignment="1">
      <x:alignment horizontal="center" wrapText="1"/>
    </x:xf>
    <x:xf numFmtId="0" fontId="10" fillId="18" borderId="30" xfId="0" applyNumberFormat="1" applyFont="1" applyFill="1" applyBorder="1" applyAlignment="1">
      <x:alignment horizontal="center" wrapText="1"/>
    </x:xf>
    <x:xf numFmtId="0" fontId="10" fillId="18" borderId="31" xfId="0" applyNumberFormat="1" applyFont="1" applyFill="1" applyBorder="1" applyAlignment="1">
      <x:alignment horizontal="center" wrapText="1"/>
    </x:xf>
    <x:xf numFmtId="0" fontId="10" fillId="18" borderId="32" xfId="0" applyNumberFormat="1" applyFont="1" applyFill="1" applyBorder="1" applyAlignment="1">
      <x:alignment horizontal="center" wrapText="1"/>
    </x:xf>
    <x:xf numFmtId="0" fontId="10" fillId="18" borderId="33" xfId="0" applyNumberFormat="1" applyFont="1" applyFill="1" applyBorder="1" applyAlignment="1">
      <x:alignment horizontal="center" wrapText="1"/>
    </x:xf>
    <x:xf numFmtId="0" fontId="10" fillId="18" borderId="28" xfId="0" applyNumberFormat="1" applyFont="1" applyFill="1" applyBorder="1" applyAlignment="1">
      <x:alignment horizontal="center" vertical="center" wrapText="1"/>
    </x:xf>
    <x:xf numFmtId="0" fontId="10" fillId="18" borderId="29" xfId="0" applyNumberFormat="1" applyFont="1" applyFill="1" applyBorder="1" applyAlignment="1">
      <x:alignment horizontal="center" vertical="center" wrapText="1"/>
    </x:xf>
    <x:xf numFmtId="0" fontId="10" fillId="18" borderId="30" xfId="0" applyNumberFormat="1" applyFont="1" applyFill="1" applyBorder="1" applyAlignment="1">
      <x:alignment horizontal="center" vertical="center" wrapText="1"/>
    </x:xf>
    <x:xf numFmtId="0" fontId="10" fillId="18" borderId="31" xfId="0" applyNumberFormat="1" applyFont="1" applyFill="1" applyBorder="1" applyAlignment="1">
      <x:alignment horizontal="center" vertical="center" wrapText="1"/>
    </x:xf>
    <x:xf numFmtId="0" fontId="10" fillId="18" borderId="32" xfId="0" applyNumberFormat="1" applyFont="1" applyFill="1" applyBorder="1" applyAlignment="1">
      <x:alignment horizontal="center" vertical="center" wrapText="1"/>
    </x:xf>
    <x:xf numFmtId="0" fontId="10" fillId="18" borderId="33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6" fillId="19" borderId="0" xfId="0" applyNumberFormat="1" applyFont="1" applyFill="1" applyBorder="1"/>
    <x:xf numFmtId="0" fontId="6" fillId="19" borderId="0" xfId="0" applyNumberFormat="1" applyFont="1" applyFill="1" applyBorder="1" applyAlignment="1">
      <x:alignment horizontal="center"/>
    </x:xf>
    <x:xf numFmtId="0" fontId="0" fillId="20" borderId="0" xfId="0" applyNumberFormat="1" applyFont="1" applyFill="1" applyBorder="1"/>
    <x:xf numFmtId="0" fontId="11" fillId="20" borderId="0" xfId="0" applyNumberFormat="1" applyFont="1" applyFill="1" applyBorder="1"/>
    <x:xf numFmtId="0" fontId="11" fillId="20" borderId="34" xfId="0" applyNumberFormat="1" applyFont="1" applyFill="1" applyBorder="1"/>
    <x:xf numFmtId="0" fontId="11" fillId="20" borderId="35" xfId="0" applyNumberFormat="1" applyFont="1" applyFill="1" applyBorder="1"/>
    <x:xf numFmtId="0" fontId="11" fillId="20" borderId="36" xfId="0" applyNumberFormat="1" applyFont="1" applyFill="1" applyBorder="1"/>
    <x:xf numFmtId="0" fontId="11" fillId="20" borderId="37" xfId="0" applyNumberFormat="1" applyFont="1" applyFill="1" applyBorder="1"/>
    <x:xf numFmtId="0" fontId="11" fillId="20" borderId="38" xfId="0" applyNumberFormat="1" applyFont="1" applyFill="1" applyBorder="1"/>
    <x:xf numFmtId="0" fontId="11" fillId="20" borderId="39" xfId="0" applyNumberFormat="1" applyFont="1" applyFill="1" applyBorder="1"/>
    <x:xf numFmtId="0" fontId="11" fillId="20" borderId="34" xfId="0" applyNumberFormat="1" applyFont="1" applyFill="1" applyBorder="1" applyAlignment="1">
      <x:alignment wrapText="1"/>
    </x:xf>
    <x:xf numFmtId="0" fontId="11" fillId="20" borderId="35" xfId="0" applyNumberFormat="1" applyFont="1" applyFill="1" applyBorder="1" applyAlignment="1">
      <x:alignment wrapText="1"/>
    </x:xf>
    <x:xf numFmtId="0" fontId="11" fillId="20" borderId="36" xfId="0" applyNumberFormat="1" applyFont="1" applyFill="1" applyBorder="1" applyAlignment="1">
      <x:alignment wrapText="1"/>
    </x:xf>
    <x:xf numFmtId="0" fontId="11" fillId="20" borderId="37" xfId="0" applyNumberFormat="1" applyFont="1" applyFill="1" applyBorder="1" applyAlignment="1">
      <x:alignment wrapText="1"/>
    </x:xf>
    <x:xf numFmtId="0" fontId="11" fillId="20" borderId="38" xfId="0" applyNumberFormat="1" applyFont="1" applyFill="1" applyBorder="1" applyAlignment="1">
      <x:alignment wrapText="1"/>
    </x:xf>
    <x:xf numFmtId="0" fontId="11" fillId="20" borderId="39" xfId="0" applyNumberFormat="1" applyFont="1" applyFill="1" applyBorder="1" applyAlignment="1">
      <x:alignment wrapText="1"/>
    </x:xf>
    <x:xf numFmtId="0" fontId="11" fillId="20" borderId="34" xfId="0" applyNumberFormat="1" applyFont="1" applyFill="1" applyBorder="1" applyAlignment="1">
      <x:alignment horizontal="center" wrapText="1"/>
    </x:xf>
    <x:xf numFmtId="0" fontId="11" fillId="20" borderId="35" xfId="0" applyNumberFormat="1" applyFont="1" applyFill="1" applyBorder="1" applyAlignment="1">
      <x:alignment horizontal="center" wrapText="1"/>
    </x:xf>
    <x:xf numFmtId="0" fontId="11" fillId="20" borderId="36" xfId="0" applyNumberFormat="1" applyFont="1" applyFill="1" applyBorder="1" applyAlignment="1">
      <x:alignment horizontal="center" wrapText="1"/>
    </x:xf>
    <x:xf numFmtId="0" fontId="11" fillId="20" borderId="37" xfId="0" applyNumberFormat="1" applyFont="1" applyFill="1" applyBorder="1" applyAlignment="1">
      <x:alignment horizontal="center" wrapText="1"/>
    </x:xf>
    <x:xf numFmtId="0" fontId="11" fillId="20" borderId="38" xfId="0" applyNumberFormat="1" applyFont="1" applyFill="1" applyBorder="1" applyAlignment="1">
      <x:alignment horizontal="center" wrapText="1"/>
    </x:xf>
    <x:xf numFmtId="0" fontId="11" fillId="20" borderId="39" xfId="0" applyNumberFormat="1" applyFont="1" applyFill="1" applyBorder="1" applyAlignment="1">
      <x:alignment horizontal="center" wrapText="1"/>
    </x:xf>
    <x:xf numFmtId="0" fontId="11" fillId="20" borderId="34" xfId="0" applyNumberFormat="1" applyFont="1" applyFill="1" applyBorder="1" applyAlignment="1">
      <x:alignment horizontal="center" vertical="center" wrapText="1"/>
    </x:xf>
    <x:xf numFmtId="0" fontId="11" fillId="20" borderId="35" xfId="0" applyNumberFormat="1" applyFont="1" applyFill="1" applyBorder="1" applyAlignment="1">
      <x:alignment horizontal="center" vertical="center" wrapText="1"/>
    </x:xf>
    <x:xf numFmtId="0" fontId="11" fillId="20" borderId="36" xfId="0" applyNumberFormat="1" applyFont="1" applyFill="1" applyBorder="1" applyAlignment="1">
      <x:alignment horizontal="center" vertical="center" wrapText="1"/>
    </x:xf>
    <x:xf numFmtId="0" fontId="11" fillId="20" borderId="37" xfId="0" applyNumberFormat="1" applyFont="1" applyFill="1" applyBorder="1" applyAlignment="1">
      <x:alignment horizontal="center" vertical="center" wrapText="1"/>
    </x:xf>
    <x:xf numFmtId="0" fontId="11" fillId="20" borderId="38" xfId="0" applyNumberFormat="1" applyFont="1" applyFill="1" applyBorder="1" applyAlignment="1">
      <x:alignment horizontal="center" vertical="center" wrapText="1"/>
    </x:xf>
    <x:xf numFmtId="0" fontId="11" fillId="20" borderId="39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9" fillId="21" borderId="0" xfId="0" applyNumberFormat="1" applyFont="1" applyFill="1" applyBorder="1"/>
    <x:xf numFmtId="0" fontId="9" fillId="21" borderId="0" xfId="0" applyNumberFormat="1" applyFont="1" applyFill="1" applyBorder="1" applyAlignment="1">
      <x:alignment horizontal="left"/>
    </x:xf>
    <x:xf numFmtId="0" fontId="9" fillId="21" borderId="0" xfId="0" applyNumberFormat="1" applyFont="1" applyFill="1" applyBorder="1" applyAlignment="1">
      <x:alignment horizontal="left" vertical="center"/>
    </x:xf>
    <x:xf numFmtId="202" fontId="0" fillId="0" borderId="0" xfId="0" applyNumberFormat="1" applyFont="1" applyFill="1" applyBorder="1" applyAlignment="1">
      <x:alignment horizontal="right"/>
    </x:xf>
    <x:xf numFmtId="202" fontId="0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5">
    <x:dxf>
      <x:font>
        <x:b/>
        <x:color rgb="FF7D231B"/>
      </x:font>
      <x:fill>
        <x:patternFill patternType="solid">
          <x:bgColor rgb="FFF4B7AD"/>
        </x:patternFill>
      </x:fill>
    </x:dxf>
    <x:dxf>
      <x:font>
        <x:b/>
        <x:color rgb="FF8A2F23"/>
      </x:font>
      <x:fill>
        <x:patternFill patternType="solid">
          <x:bgColor rgb="FFF7C9BE"/>
        </x:patternFill>
      </x:fill>
    </x:dxf>
    <x:dxf>
      <x:font>
        <x:b/>
        <x:color rgb="FF744B18"/>
      </x:font>
      <x:fill>
        <x:patternFill patternType="solid">
          <x:bgColor rgb="FFF6D9A8"/>
        </x:patternFill>
      </x:fill>
    </x:dxf>
    <x:dxf>
      <x:font>
        <x:b/>
        <x:color rgb="FF6A4A28"/>
      </x:font>
      <x:fill>
        <x:patternFill patternType="solid">
          <x:bgColor rgb="FFF3E2C8"/>
        </x:patternFill>
      </x:fill>
    </x:dxf>
    <x:dxf>
      <x:font>
        <x:b/>
        <x:color rgb="FF40551D"/>
      </x:font>
      <x:fill>
        <x:patternFill patternType="solid">
          <x:bgColor rgb="FFDCEBC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daa050c39b4e02" /><Relationship Type="http://schemas.openxmlformats.org/officeDocument/2006/relationships/theme" Target="/xl/theme/theme1.xml" Id="R72dc5c10a6da41bb" /><Relationship Type="http://schemas.openxmlformats.org/officeDocument/2006/relationships/sharedStrings" Target="/xl/sharedStrings.xml" Id="Rf3f87b5df9894dee" /><Relationship Type="http://schemas.openxmlformats.org/officeDocument/2006/relationships/worksheet" Target="/xl/worksheets/sheet1.xml" Id="R32dabb83e68142e9" /><Relationship Type="http://schemas.openxmlformats.org/officeDocument/2006/relationships/worksheet" Target="/xl/worksheets/sheet2.xml" Id="Rc041bb2a8f17449f" /><Relationship Type="http://schemas.openxmlformats.org/officeDocument/2006/relationships/worksheet" Target="/xl/worksheets/sheet3.xml" Id="R9dc508e24fe54c7e" /><Relationship Type="http://schemas.openxmlformats.org/officeDocument/2006/relationships/worksheet" Target="/xl/worksheets/sheet4.xml" Id="R3393534b9ef34cb2" /></Relationships>
</file>

<file path=xl/tables/table1.xml><?xml version="1.0" encoding="utf-8"?>
<x:table xmlns:x="http://schemas.openxmlformats.org/spreadsheetml/2006/main" id="1" name="PrototypeRecipes" displayName="PrototypeRecipes" ref="A4:N55" headerRowCount="1" totalsRowCount="0" totalsRowShown="0">
  <x:autoFilter ref="A4:N55"/>
  <x:tableColumns count="14">
    <x:tableColumn id="1" name="순서"/>
    <x:tableColumn id="2" name="레시피 ID"/>
    <x:tableColumn id="3" name="요리명"/>
    <x:tableColumn id="4" name="재료 수"/>
    <x:tableColumn id="5" name="재료 1"/>
    <x:tableColumn id="6" name="재료 2"/>
    <x:tableColumn id="7" name="재료 3"/>
    <x:tableColumn id="8" name="재료 4"/>
    <x:tableColumn id="9" name="재료 5"/>
    <x:tableColumn id="10" name="조합"/>
    <x:tableColumn id="11" name="기본 판매가(원)"/>
    <x:tableColumn id="12" name="기본 조리시간(초)"/>
    <x:tableColumn id="13" name="Lv.2 판매가(원)"/>
    <x:tableColumn id="14" name="아이콘 기준 ID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IngredientUsageAnalysis" displayName="IngredientUsageAnalysis" ref="A10:F51" headerRowCount="1" totalsRowCount="0" totalsRowShown="0">
  <x:autoFilter ref="A10:F51"/>
  <x:tableColumns count="6">
    <x:tableColumn id="1" name="순위"/>
    <x:tableColumn id="2" name="재료"/>
    <x:tableColumn id="3" name="사용 레시피 수"/>
    <x:tableColumn id="4" name="총 투입 슬롯"/>
    <x:tableColumn id="5" name="레시피 사용률"/>
    <x:tableColumn id="6" name="사용 레시피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RecipeSupplyDemandAnalysis" displayName="RecipeSupplyDemandAnalysis" ref="A10:L109" headerRowCount="1" totalsRowCount="0" totalsRowShown="0">
  <x:autoFilter ref="A10:L109"/>
  <x:tableColumns count="12">
    <x:tableColumn id="1" name="판정"/>
    <x:tableColumn id="2" name="재료"/>
    <x:tableColumn id="3" name="사용 레시피 수"/>
    <x:tableColumn id="4" name="필요 슬롯"/>
    <x:tableColumn id="5" name="기본·단일 병아리"/>
    <x:tableColumn id="6" name="특별 병아리"/>
    <x:tableColumn id="7" name="환산 공급력"/>
    <x:tableColumn id="8" name="부담 지수"/>
    <x:tableColumn id="9" name="첫 등장 테마"/>
    <x:tableColumn id="10" name="드랍 병아리"/>
    <x:tableColumn id="11" name="사용 레시피"/>
    <x:tableColumn id="12" name="검토 방향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90599e5d7246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b7bf3d457cd44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f17d9d6a7d645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0" hidden="0" customWidth="1"/>
    <x:col min="3" max="3" width="24" hidden="0" customWidth="1"/>
    <x:col min="4" max="4" width="8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44" hidden="0" customWidth="1"/>
    <x:col min="11" max="11" width="15" hidden="0" customWidth="1"/>
    <x:col min="12" max="12" width="17" hidden="0" customWidth="1"/>
    <x:col min="13" max="13" width="15" hidden="0" customWidth="1"/>
    <x:col min="14" max="14" width="13" hidden="0" customWidth="1"/>
  </x:cols>
  <x:sheetData>
    <x:row r="1" ht="34" customHeight="1">
      <x:c r="A1" s="4" t="str">
        <x:v>프로토타입 레시피 리스트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2" customHeight="1">
      <x:c r="A2" s="8" t="str">
        <x:v>현재 프로토타입 적용 기준 · 총 51종 · 2026-08-27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4">
      <x:c r="A4" s="14" t="str">
        <x:v>순서</x:v>
      </x:c>
      <x:c r="B4" s="14" t="str">
        <x:v>레시피 ID</x:v>
      </x:c>
      <x:c r="C4" s="14" t="str">
        <x:v>요리명</x:v>
      </x:c>
      <x:c r="D4" s="14" t="str">
        <x:v>재료 수</x:v>
      </x:c>
      <x:c r="E4" s="14" t="str">
        <x:v>재료 1</x:v>
      </x:c>
      <x:c r="F4" s="14" t="str">
        <x:v>재료 2</x:v>
      </x:c>
      <x:c r="G4" s="14" t="str">
        <x:v>재료 3</x:v>
      </x:c>
      <x:c r="H4" s="14" t="str">
        <x:v>재료 4</x:v>
      </x:c>
      <x:c r="I4" s="14" t="str">
        <x:v>재료 5</x:v>
      </x:c>
      <x:c r="J4" s="14" t="str">
        <x:v>조합</x:v>
      </x:c>
      <x:c r="K4" s="14" t="str">
        <x:v>기본 판매가(원)</x:v>
      </x:c>
      <x:c r="L4" s="14" t="str">
        <x:v>기본 조리시간(초)</x:v>
      </x:c>
      <x:c r="M4" s="14" t="str">
        <x:v>Lv.2 판매가(원)</x:v>
      </x:c>
      <x:c r="N4" s="14" t="str">
        <x:v>아이콘 기준 ID</x:v>
      </x:c>
    </x:row>
    <x:row r="5" ht="21" customHeight="1">
      <x:c r="A5" s="15" t="n">
        <x:v>1</x:v>
      </x:c>
      <x:c r="B5" s="15" t="n">
        <x:v>1</x:v>
      </x:c>
      <x:c r="C5" s="14" t="str">
        <x:v>삶은 병아리콩</x:v>
      </x:c>
      <x:c r="D5" s="15" t="n">
        <x:v>2</x:v>
      </x:c>
      <x:c r="E5" s="15" t="str">
        <x:v>물</x:v>
      </x:c>
      <x:c r="F5" s="15" t="str">
        <x:v>병아리콩</x:v>
      </x:c>
      <x:c r="G5" s="15" t="str"/>
      <x:c r="H5" s="15" t="str"/>
      <x:c r="I5" s="15" t="str"/>
      <x:c r="J5" s="14" t="str">
        <x:v>물 + 병아리콩</x:v>
      </x:c>
      <x:c r="K5" s="17" t="n">
        <x:v>35</x:v>
      </x:c>
      <x:c r="L5" s="18" t="n">
        <x:f>MAX('설정'!$B$6,MIN('설정'!$B$7,ROUND((K5/'설정'!$B$5+'설정'!$B$4)/'설정'!$B$8,0)*'설정'!$B$8))</x:f>
        <x:v>4</x:v>
      </x:c>
      <x:c r="M5" s="17" t="n">
        <x:f>ROUND(K5*(1+'설정'!$B$9),0)</x:f>
        <x:v>39</x:v>
      </x:c>
      <x:c r="N5" s="16" t="n">
        <x:v>4</x:v>
      </x:c>
    </x:row>
    <x:row r="6" ht="21" customHeight="1">
      <x:c r="A6" s="15" t="n">
        <x:v>2</x:v>
      </x:c>
      <x:c r="B6" s="15" t="n">
        <x:v>2</x:v>
      </x:c>
      <x:c r="C6" s="14" t="str">
        <x:v>병아리콩 가득</x:v>
      </x:c>
      <x:c r="D6" s="15" t="n">
        <x:v>3</x:v>
      </x:c>
      <x:c r="E6" s="15" t="str">
        <x:v>병아리콩</x:v>
      </x:c>
      <x:c r="F6" s="15" t="str">
        <x:v>병아리콩</x:v>
      </x:c>
      <x:c r="G6" s="15" t="str">
        <x:v>병아리콩</x:v>
      </x:c>
      <x:c r="H6" s="15" t="str"/>
      <x:c r="I6" s="15" t="str"/>
      <x:c r="J6" s="14" t="str">
        <x:v>병아리콩 + 병아리콩 + 병아리콩</x:v>
      </x:c>
      <x:c r="K6" s="17" t="n">
        <x:v>65</x:v>
      </x:c>
      <x:c r="L6" s="18" t="n">
        <x:f>MAX('설정'!$B$6,MIN('설정'!$B$7,ROUND((K6/'설정'!$B$5+'설정'!$B$4)/'설정'!$B$8,0)*'설정'!$B$8))</x:f>
        <x:v>5.5</x:v>
      </x:c>
      <x:c r="M6" s="17" t="n">
        <x:f>ROUND(K6*(1+'설정'!$B$9),0)</x:f>
        <x:v>72</x:v>
      </x:c>
      <x:c r="N6" s="16" t="n">
        <x:v>4</x:v>
      </x:c>
    </x:row>
    <x:row r="7" ht="21" customHeight="1">
      <x:c r="A7" s="15" t="n">
        <x:v>3</x:v>
      </x:c>
      <x:c r="B7" s="15" t="n">
        <x:v>3</x:v>
      </x:c>
      <x:c r="C7" s="14" t="str">
        <x:v>삶은 고기</x:v>
      </x:c>
      <x:c r="D7" s="15" t="n">
        <x:v>2</x:v>
      </x:c>
      <x:c r="E7" s="15" t="str">
        <x:v>물</x:v>
      </x:c>
      <x:c r="F7" s="15" t="str">
        <x:v>고기</x:v>
      </x:c>
      <x:c r="G7" s="15" t="str"/>
      <x:c r="H7" s="15" t="str"/>
      <x:c r="I7" s="15" t="str"/>
      <x:c r="J7" s="14" t="str">
        <x:v>물 + 고기</x:v>
      </x:c>
      <x:c r="K7" s="17" t="n">
        <x:v>50</x:v>
      </x:c>
      <x:c r="L7" s="18" t="n">
        <x:f>MAX('설정'!$B$6,MIN('설정'!$B$7,ROUND((K7/'설정'!$B$5+'설정'!$B$4)/'설정'!$B$8,0)*'설정'!$B$8))</x:f>
        <x:v>4.5</x:v>
      </x:c>
      <x:c r="M7" s="17" t="n">
        <x:f>ROUND(K7*(1+'설정'!$B$9),0)</x:f>
        <x:v>55</x:v>
      </x:c>
      <x:c r="N7" s="16" t="n">
        <x:v>4</x:v>
      </x:c>
    </x:row>
    <x:row r="8" ht="21" customHeight="1">
      <x:c r="A8" s="15" t="n">
        <x:v>4</x:v>
      </x:c>
      <x:c r="B8" s="15" t="n">
        <x:v>4</x:v>
      </x:c>
      <x:c r="C8" s="14" t="str">
        <x:v>병아리콩 팬케이크</x:v>
      </x:c>
      <x:c r="D8" s="15" t="n">
        <x:v>2</x:v>
      </x:c>
      <x:c r="E8" s="15" t="str">
        <x:v>병아리콩</x:v>
      </x:c>
      <x:c r="F8" s="15" t="str">
        <x:v>밀가루</x:v>
      </x:c>
      <x:c r="G8" s="15" t="str"/>
      <x:c r="H8" s="15" t="str"/>
      <x:c r="I8" s="15" t="str"/>
      <x:c r="J8" s="14" t="str">
        <x:v>병아리콩 + 밀가루</x:v>
      </x:c>
      <x:c r="K8" s="17" t="n">
        <x:v>45</x:v>
      </x:c>
      <x:c r="L8" s="18" t="n">
        <x:f>MAX('설정'!$B$6,MIN('설정'!$B$7,ROUND((K8/'설정'!$B$5+'설정'!$B$4)/'설정'!$B$8,0)*'설정'!$B$8))</x:f>
        <x:v>4.5</x:v>
      </x:c>
      <x:c r="M8" s="17" t="n">
        <x:f>ROUND(K8*(1+'설정'!$B$9),0)</x:f>
        <x:v>50</x:v>
      </x:c>
      <x:c r="N8" s="16" t="n">
        <x:v>36</x:v>
      </x:c>
    </x:row>
    <x:row r="9" ht="21" customHeight="1">
      <x:c r="A9" s="15" t="n">
        <x:v>5</x:v>
      </x:c>
      <x:c r="B9" s="15" t="n">
        <x:v>5</x:v>
      </x:c>
      <x:c r="C9" s="14" t="str">
        <x:v>육전</x:v>
      </x:c>
      <x:c r="D9" s="15" t="n">
        <x:v>2</x:v>
      </x:c>
      <x:c r="E9" s="15" t="str">
        <x:v>밀가루</x:v>
      </x:c>
      <x:c r="F9" s="15" t="str">
        <x:v>고기</x:v>
      </x:c>
      <x:c r="G9" s="15" t="str"/>
      <x:c r="H9" s="15" t="str"/>
      <x:c r="I9" s="15" t="str"/>
      <x:c r="J9" s="14" t="str">
        <x:v>밀가루 + 고기</x:v>
      </x:c>
      <x:c r="K9" s="17" t="n">
        <x:v>45</x:v>
      </x:c>
      <x:c r="L9" s="18" t="n">
        <x:f>MAX('설정'!$B$6,MIN('설정'!$B$7,ROUND((K9/'설정'!$B$5+'설정'!$B$4)/'설정'!$B$8,0)*'설정'!$B$8))</x:f>
        <x:v>4.5</x:v>
      </x:c>
      <x:c r="M9" s="17" t="n">
        <x:f>ROUND(K9*(1+'설정'!$B$9),0)</x:f>
        <x:v>50</x:v>
      </x:c>
      <x:c r="N9" s="16" t="n">
        <x:v>36</x:v>
      </x:c>
    </x:row>
    <x:row r="10" ht="21" customHeight="1">
      <x:c r="A10" s="15" t="n">
        <x:v>6</x:v>
      </x:c>
      <x:c r="B10" s="15" t="n">
        <x:v>6</x:v>
      </x:c>
      <x:c r="C10" s="14" t="str">
        <x:v>고기쌈</x:v>
      </x:c>
      <x:c r="D10" s="15" t="n">
        <x:v>2</x:v>
      </x:c>
      <x:c r="E10" s="15" t="str">
        <x:v>고기</x:v>
      </x:c>
      <x:c r="F10" s="15" t="str">
        <x:v>나뭇잎</x:v>
      </x:c>
      <x:c r="G10" s="15" t="str"/>
      <x:c r="H10" s="15" t="str"/>
      <x:c r="I10" s="15" t="str"/>
      <x:c r="J10" s="14" t="str">
        <x:v>고기 + 나뭇잎</x:v>
      </x:c>
      <x:c r="K10" s="17" t="n">
        <x:v>65</x:v>
      </x:c>
      <x:c r="L10" s="18" t="n">
        <x:f>MAX('설정'!$B$6,MIN('설정'!$B$7,ROUND((K10/'설정'!$B$5+'설정'!$B$4)/'설정'!$B$8,0)*'설정'!$B$8))</x:f>
        <x:v>5.5</x:v>
      </x:c>
      <x:c r="M10" s="17" t="n">
        <x:f>ROUND(K10*(1+'설정'!$B$9),0)</x:f>
        <x:v>72</x:v>
      </x:c>
      <x:c r="N10" s="16" t="n">
        <x:v>19</x:v>
      </x:c>
    </x:row>
    <x:row r="11" ht="21" customHeight="1">
      <x:c r="A11" s="15" t="n">
        <x:v>7</x:v>
      </x:c>
      <x:c r="B11" s="15" t="n">
        <x:v>7</x:v>
      </x:c>
      <x:c r="C11" s="14" t="str">
        <x:v>도토리묵</x:v>
      </x:c>
      <x:c r="D11" s="15" t="n">
        <x:v>2</x:v>
      </x:c>
      <x:c r="E11" s="15" t="str">
        <x:v>물</x:v>
      </x:c>
      <x:c r="F11" s="15" t="str">
        <x:v>도토리</x:v>
      </x:c>
      <x:c r="G11" s="15" t="str"/>
      <x:c r="H11" s="15" t="str"/>
      <x:c r="I11" s="15" t="str"/>
      <x:c r="J11" s="14" t="str">
        <x:v>물 + 도토리</x:v>
      </x:c>
      <x:c r="K11" s="17" t="n">
        <x:v>65</x:v>
      </x:c>
      <x:c r="L11" s="18" t="n">
        <x:f>MAX('설정'!$B$6,MIN('설정'!$B$7,ROUND((K11/'설정'!$B$5+'설정'!$B$4)/'설정'!$B$8,0)*'설정'!$B$8))</x:f>
        <x:v>5.5</x:v>
      </x:c>
      <x:c r="M11" s="17" t="n">
        <x:f>ROUND(K11*(1+'설정'!$B$9),0)</x:f>
        <x:v>72</x:v>
      </x:c>
      <x:c r="N11" s="16" t="n">
        <x:v>32</x:v>
      </x:c>
    </x:row>
    <x:row r="12" ht="21" customHeight="1">
      <x:c r="A12" s="15" t="n">
        <x:v>8</x:v>
      </x:c>
      <x:c r="B12" s="15" t="n">
        <x:v>8</x:v>
      </x:c>
      <x:c r="C12" s="14" t="str">
        <x:v>상큼 나뭇잎 샐러드</x:v>
      </x:c>
      <x:c r="D12" s="15" t="n">
        <x:v>3</x:v>
      </x:c>
      <x:c r="E12" s="15" t="str">
        <x:v>열매</x:v>
      </x:c>
      <x:c r="F12" s="15" t="str">
        <x:v>나뭇잎</x:v>
      </x:c>
      <x:c r="G12" s="15" t="str">
        <x:v>도토리</x:v>
      </x:c>
      <x:c r="H12" s="15" t="str"/>
      <x:c r="I12" s="15" t="str"/>
      <x:c r="J12" s="14" t="str">
        <x:v>열매 + 나뭇잎 + 도토리</x:v>
      </x:c>
      <x:c r="K12" s="17" t="n">
        <x:v>80</x:v>
      </x:c>
      <x:c r="L12" s="18" t="n">
        <x:f>MAX('설정'!$B$6,MIN('설정'!$B$7,ROUND((K12/'설정'!$B$5+'설정'!$B$4)/'설정'!$B$8,0)*'설정'!$B$8))</x:f>
        <x:v>6</x:v>
      </x:c>
      <x:c r="M12" s="17" t="n">
        <x:f>ROUND(K12*(1+'설정'!$B$9),0)</x:f>
        <x:v>88</x:v>
      </x:c>
      <x:c r="N12" s="16" t="n">
        <x:v>1</x:v>
      </x:c>
    </x:row>
    <x:row r="13" ht="21" customHeight="1">
      <x:c r="A13" s="15" t="n">
        <x:v>9</x:v>
      </x:c>
      <x:c r="B13" s="15" t="n">
        <x:v>9</x:v>
      </x:c>
      <x:c r="C13" s="14" t="str">
        <x:v>열매꼬치구이</x:v>
      </x:c>
      <x:c r="D13" s="15" t="n">
        <x:v>2</x:v>
      </x:c>
      <x:c r="E13" s="15" t="str">
        <x:v>열매</x:v>
      </x:c>
      <x:c r="F13" s="15" t="str">
        <x:v>고기</x:v>
      </x:c>
      <x:c r="G13" s="15" t="str"/>
      <x:c r="H13" s="15" t="str"/>
      <x:c r="I13" s="15" t="str"/>
      <x:c r="J13" s="14" t="str">
        <x:v>열매 + 고기</x:v>
      </x:c>
      <x:c r="K13" s="17" t="n">
        <x:v>65</x:v>
      </x:c>
      <x:c r="L13" s="18" t="n">
        <x:f>MAX('설정'!$B$6,MIN('설정'!$B$7,ROUND((K13/'설정'!$B$5+'설정'!$B$4)/'설정'!$B$8,0)*'설정'!$B$8))</x:f>
        <x:v>5.5</x:v>
      </x:c>
      <x:c r="M13" s="17" t="n">
        <x:f>ROUND(K13*(1+'설정'!$B$9),0)</x:f>
        <x:v>72</x:v>
      </x:c>
      <x:c r="N13" s="16" t="n">
        <x:v>5</x:v>
      </x:c>
    </x:row>
    <x:row r="14" ht="21" customHeight="1">
      <x:c r="A14" s="15" t="n">
        <x:v>10</x:v>
      </x:c>
      <x:c r="B14" s="15" t="n">
        <x:v>10</x:v>
      </x:c>
      <x:c r="C14" s="14" t="str">
        <x:v>벌레 파이</x:v>
      </x:c>
      <x:c r="D14" s="15" t="n">
        <x:v>2</x:v>
      </x:c>
      <x:c r="E14" s="15" t="str">
        <x:v>벌레</x:v>
      </x:c>
      <x:c r="F14" s="15" t="str">
        <x:v>밀가루</x:v>
      </x:c>
      <x:c r="G14" s="15" t="str"/>
      <x:c r="H14" s="15" t="str"/>
      <x:c r="I14" s="15" t="str"/>
      <x:c r="J14" s="14" t="str">
        <x:v>벌레 + 밀가루</x:v>
      </x:c>
      <x:c r="K14" s="17" t="n">
        <x:v>65</x:v>
      </x:c>
      <x:c r="L14" s="18" t="n">
        <x:f>MAX('설정'!$B$6,MIN('설정'!$B$7,ROUND((K14/'설정'!$B$5+'설정'!$B$4)/'설정'!$B$8,0)*'설정'!$B$8))</x:f>
        <x:v>5.5</x:v>
      </x:c>
      <x:c r="M14" s="17" t="n">
        <x:f>ROUND(K14*(1+'설정'!$B$9),0)</x:f>
        <x:v>72</x:v>
      </x:c>
      <x:c r="N14" s="16" t="n">
        <x:v>29</x:v>
      </x:c>
    </x:row>
    <x:row r="15" ht="21" customHeight="1">
      <x:c r="A15" s="15" t="n">
        <x:v>11</x:v>
      </x:c>
      <x:c r="B15" s="15" t="n">
        <x:v>11</x:v>
      </x:c>
      <x:c r="C15" s="14" t="str">
        <x:v>고단백 식품</x:v>
      </x:c>
      <x:c r="D15" s="15" t="n">
        <x:v>2</x:v>
      </x:c>
      <x:c r="E15" s="15" t="str">
        <x:v>벌레</x:v>
      </x:c>
      <x:c r="F15" s="15" t="str">
        <x:v>고기</x:v>
      </x:c>
      <x:c r="G15" s="15" t="str"/>
      <x:c r="H15" s="15" t="str"/>
      <x:c r="I15" s="15" t="str"/>
      <x:c r="J15" s="14" t="str">
        <x:v>벌레 + 고기</x:v>
      </x:c>
      <x:c r="K15" s="17" t="n">
        <x:v>65</x:v>
      </x:c>
      <x:c r="L15" s="18" t="n">
        <x:f>MAX('설정'!$B$6,MIN('설정'!$B$7,ROUND((K15/'설정'!$B$5+'설정'!$B$4)/'설정'!$B$8,0)*'설정'!$B$8))</x:f>
        <x:v>5.5</x:v>
      </x:c>
      <x:c r="M15" s="17" t="n">
        <x:f>ROUND(K15*(1+'설정'!$B$9),0)</x:f>
        <x:v>72</x:v>
      </x:c>
      <x:c r="N15" s="16" t="n">
        <x:v>20</x:v>
      </x:c>
    </x:row>
    <x:row r="16" ht="21" customHeight="1">
      <x:c r="A16" s="15" t="n">
        <x:v>12</x:v>
      </x:c>
      <x:c r="B16" s="15" t="n">
        <x:v>12</x:v>
      </x:c>
      <x:c r="C16" s="14" t="str">
        <x:v>벌레먹은 나뭇잎</x:v>
      </x:c>
      <x:c r="D16" s="15" t="n">
        <x:v>2</x:v>
      </x:c>
      <x:c r="E16" s="15" t="str">
        <x:v>나뭇잎</x:v>
      </x:c>
      <x:c r="F16" s="15" t="str">
        <x:v>벌레</x:v>
      </x:c>
      <x:c r="G16" s="15" t="str"/>
      <x:c r="H16" s="15" t="str"/>
      <x:c r="I16" s="15" t="str"/>
      <x:c r="J16" s="14" t="str">
        <x:v>나뭇잎 + 벌레</x:v>
      </x:c>
      <x:c r="K16" s="17" t="n">
        <x:v>65</x:v>
      </x:c>
      <x:c r="L16" s="18" t="n">
        <x:f>MAX('설정'!$B$6,MIN('설정'!$B$7,ROUND((K16/'설정'!$B$5+'설정'!$B$4)/'설정'!$B$8,0)*'설정'!$B$8))</x:f>
        <x:v>5.5</x:v>
      </x:c>
      <x:c r="M16" s="17" t="n">
        <x:f>ROUND(K16*(1+'설정'!$B$9),0)</x:f>
        <x:v>72</x:v>
      </x:c>
      <x:c r="N16" s="16" t="n">
        <x:v>1</x:v>
      </x:c>
    </x:row>
    <x:row r="17" ht="21" customHeight="1">
      <x:c r="A17" s="15" t="n">
        <x:v>13</x:v>
      </x:c>
      <x:c r="B17" s="15" t="n">
        <x:v>13</x:v>
      </x:c>
      <x:c r="C17" s="14" t="str">
        <x:v>맑은 양파 수프</x:v>
      </x:c>
      <x:c r="D17" s="15" t="n">
        <x:v>2</x:v>
      </x:c>
      <x:c r="E17" s="15" t="str">
        <x:v>물</x:v>
      </x:c>
      <x:c r="F17" s="15" t="str">
        <x:v>양파</x:v>
      </x:c>
      <x:c r="G17" s="15" t="str"/>
      <x:c r="H17" s="15" t="str"/>
      <x:c r="I17" s="15" t="str"/>
      <x:c r="J17" s="14" t="str">
        <x:v>물 + 양파</x:v>
      </x:c>
      <x:c r="K17" s="17" t="n">
        <x:v>80</x:v>
      </x:c>
      <x:c r="L17" s="18" t="n">
        <x:f>MAX('설정'!$B$6,MIN('설정'!$B$7,ROUND((K17/'설정'!$B$5+'설정'!$B$4)/'설정'!$B$8,0)*'설정'!$B$8))</x:f>
        <x:v>6</x:v>
      </x:c>
      <x:c r="M17" s="17" t="n">
        <x:f>ROUND(K17*(1+'설정'!$B$9),0)</x:f>
        <x:v>88</x:v>
      </x:c>
      <x:c r="N17" s="16" t="n">
        <x:v>4</x:v>
      </x:c>
    </x:row>
    <x:row r="18" ht="21" customHeight="1">
      <x:c r="A18" s="15" t="n">
        <x:v>14</x:v>
      </x:c>
      <x:c r="B18" s="15" t="n">
        <x:v>14</x:v>
      </x:c>
      <x:c r="C18" s="14" t="str">
        <x:v>아보카도 병아리콩 샐러드</x:v>
      </x:c>
      <x:c r="D18" s="15" t="n">
        <x:v>3</x:v>
      </x:c>
      <x:c r="E18" s="15" t="str">
        <x:v>아보카도</x:v>
      </x:c>
      <x:c r="F18" s="15" t="str">
        <x:v>병아리콩</x:v>
      </x:c>
      <x:c r="G18" s="15" t="str">
        <x:v>나뭇잎</x:v>
      </x:c>
      <x:c r="H18" s="15" t="str"/>
      <x:c r="I18" s="15" t="str"/>
      <x:c r="J18" s="14" t="str">
        <x:v>아보카도 + 병아리콩 + 나뭇잎</x:v>
      </x:c>
      <x:c r="K18" s="17" t="n">
        <x:v>110</x:v>
      </x:c>
      <x:c r="L18" s="18" t="n">
        <x:f>MAX('설정'!$B$6,MIN('설정'!$B$7,ROUND((K18/'설정'!$B$5+'설정'!$B$4)/'설정'!$B$8,0)*'설정'!$B$8))</x:f>
        <x:v>7.5</x:v>
      </x:c>
      <x:c r="M18" s="17" t="n">
        <x:f>ROUND(K18*(1+'설정'!$B$9),0)</x:f>
        <x:v>121</x:v>
      </x:c>
      <x:c r="N18" s="16" t="n">
        <x:v>1</x:v>
      </x:c>
    </x:row>
    <x:row r="19" ht="21" customHeight="1">
      <x:c r="A19" s="15" t="n">
        <x:v>15</x:v>
      </x:c>
      <x:c r="B19" s="15" t="n">
        <x:v>15</x:v>
      </x:c>
      <x:c r="C19" s="14" t="str">
        <x:v>새싹전</x:v>
      </x:c>
      <x:c r="D19" s="15" t="n">
        <x:v>2</x:v>
      </x:c>
      <x:c r="E19" s="15" t="str">
        <x:v>새싹</x:v>
      </x:c>
      <x:c r="F19" s="15" t="str">
        <x:v>밀가루</x:v>
      </x:c>
      <x:c r="G19" s="15" t="str"/>
      <x:c r="H19" s="15" t="str"/>
      <x:c r="I19" s="15" t="str"/>
      <x:c r="J19" s="14" t="str">
        <x:v>새싹 + 밀가루</x:v>
      </x:c>
      <x:c r="K19" s="17" t="n">
        <x:v>95</x:v>
      </x:c>
      <x:c r="L19" s="18" t="n">
        <x:f>MAX('설정'!$B$6,MIN('설정'!$B$7,ROUND((K19/'설정'!$B$5+'설정'!$B$4)/'설정'!$B$8,0)*'설정'!$B$8))</x:f>
        <x:v>7</x:v>
      </x:c>
      <x:c r="M19" s="17" t="n">
        <x:f>ROUND(K19*(1+'설정'!$B$9),0)</x:f>
        <x:v>105</x:v>
      </x:c>
      <x:c r="N19" s="16" t="n">
        <x:v>36</x:v>
      </x:c>
    </x:row>
    <x:row r="20" ht="21" customHeight="1">
      <x:c r="A20" s="15" t="n">
        <x:v>16</x:v>
      </x:c>
      <x:c r="B20" s="15" t="n">
        <x:v>16</x:v>
      </x:c>
      <x:c r="C20" s="14" t="str">
        <x:v>쌀밥</x:v>
      </x:c>
      <x:c r="D20" s="15" t="n">
        <x:v>2</x:v>
      </x:c>
      <x:c r="E20" s="15" t="str">
        <x:v>물</x:v>
      </x:c>
      <x:c r="F20" s="15" t="str">
        <x:v>쌀</x:v>
      </x:c>
      <x:c r="G20" s="15" t="str"/>
      <x:c r="H20" s="15" t="str"/>
      <x:c r="I20" s="15" t="str"/>
      <x:c r="J20" s="14" t="str">
        <x:v>물 + 쌀</x:v>
      </x:c>
      <x:c r="K20" s="17" t="n">
        <x:v>95</x:v>
      </x:c>
      <x:c r="L20" s="18" t="n">
        <x:f>MAX('설정'!$B$6,MIN('설정'!$B$7,ROUND((K20/'설정'!$B$5+'설정'!$B$4)/'설정'!$B$8,0)*'설정'!$B$8))</x:f>
        <x:v>7</x:v>
      </x:c>
      <x:c r="M20" s="17" t="n">
        <x:f>ROUND(K20*(1+'설정'!$B$9),0)</x:f>
        <x:v>105</x:v>
      </x:c>
      <x:c r="N20" s="16" t="n">
        <x:v>25</x:v>
      </x:c>
    </x:row>
    <x:row r="21" ht="21" customHeight="1">
      <x:c r="A21" s="15" t="n">
        <x:v>17</x:v>
      </x:c>
      <x:c r="B21" s="15" t="n">
        <x:v>17</x:v>
      </x:c>
      <x:c r="C21" s="14" t="str">
        <x:v>병아리콩 밥</x:v>
      </x:c>
      <x:c r="D21" s="15" t="n">
        <x:v>3</x:v>
      </x:c>
      <x:c r="E21" s="15" t="str">
        <x:v>물</x:v>
      </x:c>
      <x:c r="F21" s="15" t="str">
        <x:v>병아리콩</x:v>
      </x:c>
      <x:c r="G21" s="15" t="str">
        <x:v>쌀</x:v>
      </x:c>
      <x:c r="H21" s="15" t="str"/>
      <x:c r="I21" s="15" t="str"/>
      <x:c r="J21" s="14" t="str">
        <x:v>물 + 병아리콩 + 쌀</x:v>
      </x:c>
      <x:c r="K21" s="17" t="n">
        <x:v>110</x:v>
      </x:c>
      <x:c r="L21" s="18" t="n">
        <x:f>MAX('설정'!$B$6,MIN('설정'!$B$7,ROUND((K21/'설정'!$B$5+'설정'!$B$4)/'설정'!$B$8,0)*'설정'!$B$8))</x:f>
        <x:v>7.5</x:v>
      </x:c>
      <x:c r="M21" s="17" t="n">
        <x:f>ROUND(K21*(1+'설정'!$B$9),0)</x:f>
        <x:v>121</x:v>
      </x:c>
      <x:c r="N21" s="16" t="n">
        <x:v>8</x:v>
      </x:c>
    </x:row>
    <x:row r="22" ht="21" customHeight="1">
      <x:c r="A22" s="15" t="n">
        <x:v>18</x:v>
      </x:c>
      <x:c r="B22" s="15" t="n">
        <x:v>18</x:v>
      </x:c>
      <x:c r="C22" s="14" t="str">
        <x:v>후추 스테이크</x:v>
      </x:c>
      <x:c r="D22" s="15" t="n">
        <x:v>2</x:v>
      </x:c>
      <x:c r="E22" s="15" t="str">
        <x:v>고기</x:v>
      </x:c>
      <x:c r="F22" s="15" t="str">
        <x:v>후추</x:v>
      </x:c>
      <x:c r="G22" s="15" t="str"/>
      <x:c r="H22" s="15" t="str"/>
      <x:c r="I22" s="15" t="str"/>
      <x:c r="J22" s="14" t="str">
        <x:v>고기 + 후추</x:v>
      </x:c>
      <x:c r="K22" s="17" t="n">
        <x:v>140</x:v>
      </x:c>
      <x:c r="L22" s="18" t="n">
        <x:f>MAX('설정'!$B$6,MIN('설정'!$B$7,ROUND((K22/'설정'!$B$5+'설정'!$B$4)/'설정'!$B$8,0)*'설정'!$B$8))</x:f>
        <x:v>9</x:v>
      </x:c>
      <x:c r="M22" s="17" t="n">
        <x:f>ROUND(K22*(1+'설정'!$B$9),0)</x:f>
        <x:v>154</x:v>
      </x:c>
      <x:c r="N22" s="16" t="n">
        <x:v>20</x:v>
      </x:c>
    </x:row>
    <x:row r="23" ht="21" customHeight="1">
      <x:c r="A23" s="15" t="n">
        <x:v>19</x:v>
      </x:c>
      <x:c r="B23" s="15" t="n">
        <x:v>19</x:v>
      </x:c>
      <x:c r="C23" s="14" t="str">
        <x:v>구운 옥수수</x:v>
      </x:c>
      <x:c r="D23" s="15" t="n">
        <x:v>2</x:v>
      </x:c>
      <x:c r="E23" s="15" t="str">
        <x:v>옥수수</x:v>
      </x:c>
      <x:c r="F23" s="15" t="str">
        <x:v>옥수수</x:v>
      </x:c>
      <x:c r="G23" s="15" t="str"/>
      <x:c r="H23" s="15" t="str"/>
      <x:c r="I23" s="15" t="str"/>
      <x:c r="J23" s="14" t="str">
        <x:v>옥수수 + 옥수수</x:v>
      </x:c>
      <x:c r="K23" s="17" t="n">
        <x:v>140</x:v>
      </x:c>
      <x:c r="L23" s="18" t="n">
        <x:f>MAX('설정'!$B$6,MIN('설정'!$B$7,ROUND((K23/'설정'!$B$5+'설정'!$B$4)/'설정'!$B$8,0)*'설정'!$B$8))</x:f>
        <x:v>9</x:v>
      </x:c>
      <x:c r="M23" s="17" t="n">
        <x:f>ROUND(K23*(1+'설정'!$B$9),0)</x:f>
        <x:v>154</x:v>
      </x:c>
      <x:c r="N23" s="16" t="n">
        <x:v>5</x:v>
      </x:c>
    </x:row>
    <x:row r="24" ht="21" customHeight="1">
      <x:c r="A24" s="15" t="n">
        <x:v>20</x:v>
      </x:c>
      <x:c r="B24" s="15" t="n">
        <x:v>20</x:v>
      </x:c>
      <x:c r="C24" s="14" t="str">
        <x:v>바삭 벌레구이</x:v>
      </x:c>
      <x:c r="D24" s="15" t="n">
        <x:v>3</x:v>
      </x:c>
      <x:c r="E24" s="15" t="str">
        <x:v>벌레</x:v>
      </x:c>
      <x:c r="F24" s="15" t="str">
        <x:v>밀가루</x:v>
      </x:c>
      <x:c r="G24" s="15" t="str">
        <x:v>소금</x:v>
      </x:c>
      <x:c r="H24" s="15" t="str"/>
      <x:c r="I24" s="15" t="str"/>
      <x:c r="J24" s="14" t="str">
        <x:v>벌레 + 밀가루 + 소금</x:v>
      </x:c>
      <x:c r="K24" s="17" t="n">
        <x:v>155</x:v>
      </x:c>
      <x:c r="L24" s="18" t="n">
        <x:f>MAX('설정'!$B$6,MIN('설정'!$B$7,ROUND((K24/'설정'!$B$5+'설정'!$B$4)/'설정'!$B$8,0)*'설정'!$B$8))</x:f>
        <x:v>10</x:v>
      </x:c>
      <x:c r="M24" s="17" t="n">
        <x:f>ROUND(K24*(1+'설정'!$B$9),0)</x:f>
        <x:v>171</x:v>
      </x:c>
      <x:c r="N24" s="16" t="n">
        <x:v>5</x:v>
      </x:c>
    </x:row>
    <x:row r="25" ht="21" customHeight="1">
      <x:c r="A25" s="15" t="n">
        <x:v>21</x:v>
      </x:c>
      <x:c r="B25" s="15" t="n">
        <x:v>21</x:v>
      </x:c>
      <x:c r="C25" s="14" t="str">
        <x:v>콘스프</x:v>
      </x:c>
      <x:c r="D25" s="15" t="n">
        <x:v>3</x:v>
      </x:c>
      <x:c r="E25" s="15" t="str">
        <x:v>옥수수</x:v>
      </x:c>
      <x:c r="F25" s="15" t="str">
        <x:v>생크림</x:v>
      </x:c>
      <x:c r="G25" s="15" t="str">
        <x:v>소금</x:v>
      </x:c>
      <x:c r="H25" s="15" t="str"/>
      <x:c r="I25" s="15" t="str"/>
      <x:c r="J25" s="14" t="str">
        <x:v>옥수수 + 생크림 + 소금</x:v>
      </x:c>
      <x:c r="K25" s="17" t="n">
        <x:v>155</x:v>
      </x:c>
      <x:c r="L25" s="18" t="n">
        <x:f>MAX('설정'!$B$6,MIN('설정'!$B$7,ROUND((K25/'설정'!$B$5+'설정'!$B$4)/'설정'!$B$8,0)*'설정'!$B$8))</x:f>
        <x:v>10</x:v>
      </x:c>
      <x:c r="M25" s="17" t="n">
        <x:f>ROUND(K25*(1+'설정'!$B$9),0)</x:f>
        <x:v>171</x:v>
      </x:c>
      <x:c r="N25" s="16" t="n">
        <x:v>4</x:v>
      </x:c>
    </x:row>
    <x:row r="26" ht="21" customHeight="1">
      <x:c r="A26" s="15" t="n">
        <x:v>22</x:v>
      </x:c>
      <x:c r="B26" s="15" t="n">
        <x:v>22</x:v>
      </x:c>
      <x:c r="C26" s="14" t="str">
        <x:v>트러플 크림 리조또</x:v>
      </x:c>
      <x:c r="D26" s="15" t="n">
        <x:v>3</x:v>
      </x:c>
      <x:c r="E26" s="15" t="str">
        <x:v>쌀</x:v>
      </x:c>
      <x:c r="F26" s="15" t="str">
        <x:v>생크림</x:v>
      </x:c>
      <x:c r="G26" s="15" t="str">
        <x:v>트러플</x:v>
      </x:c>
      <x:c r="H26" s="15" t="str"/>
      <x:c r="I26" s="15" t="str"/>
      <x:c r="J26" s="14" t="str">
        <x:v>쌀 + 생크림 + 트러플</x:v>
      </x:c>
      <x:c r="K26" s="17" t="n">
        <x:v>155</x:v>
      </x:c>
      <x:c r="L26" s="18" t="n">
        <x:f>MAX('설정'!$B$6,MIN('설정'!$B$7,ROUND((K26/'설정'!$B$5+'설정'!$B$4)/'설정'!$B$8,0)*'설정'!$B$8))</x:f>
        <x:v>10</x:v>
      </x:c>
      <x:c r="M26" s="17" t="n">
        <x:f>ROUND(K26*(1+'설정'!$B$9),0)</x:f>
        <x:v>171</x:v>
      </x:c>
      <x:c r="N26" s="16" t="n">
        <x:v>8</x:v>
      </x:c>
    </x:row>
    <x:row r="27" ht="21" customHeight="1">
      <x:c r="A27" s="15" t="n">
        <x:v>23</x:v>
      </x:c>
      <x:c r="B27" s="15" t="n">
        <x:v>23</x:v>
      </x:c>
      <x:c r="C27" s="14" t="str">
        <x:v>계피차</x:v>
      </x:c>
      <x:c r="D27" s="15" t="n">
        <x:v>3</x:v>
      </x:c>
      <x:c r="E27" s="15" t="str">
        <x:v>물</x:v>
      </x:c>
      <x:c r="F27" s="15" t="str">
        <x:v>시나몬</x:v>
      </x:c>
      <x:c r="G27" s="15" t="str">
        <x:v>꿀</x:v>
      </x:c>
      <x:c r="H27" s="15" t="str"/>
      <x:c r="I27" s="15" t="str"/>
      <x:c r="J27" s="14" t="str">
        <x:v>물 + 시나몬 + 꿀</x:v>
      </x:c>
      <x:c r="K27" s="17" t="n">
        <x:v>180</x:v>
      </x:c>
      <x:c r="L27" s="18" t="n">
        <x:f>MAX('설정'!$B$6,MIN('설정'!$B$7,ROUND((K27/'설정'!$B$5+'설정'!$B$4)/'설정'!$B$8,0)*'설정'!$B$8))</x:f>
        <x:v>11</x:v>
      </x:c>
      <x:c r="M27" s="17" t="n">
        <x:f>ROUND(K27*(1+'설정'!$B$9),0)</x:f>
        <x:v>198</x:v>
      </x:c>
      <x:c r="N27" s="16" t="n">
        <x:v>39</x:v>
      </x:c>
    </x:row>
    <x:row r="28" ht="21" customHeight="1">
      <x:c r="A28" s="15" t="n">
        <x:v>24</x:v>
      </x:c>
      <x:c r="B28" s="15" t="n">
        <x:v>24</x:v>
      </x:c>
      <x:c r="C28" s="14" t="str">
        <x:v>생강차</x:v>
      </x:c>
      <x:c r="D28" s="15" t="n">
        <x:v>3</x:v>
      </x:c>
      <x:c r="E28" s="15" t="str">
        <x:v>물</x:v>
      </x:c>
      <x:c r="F28" s="15" t="str">
        <x:v>생강</x:v>
      </x:c>
      <x:c r="G28" s="15" t="str">
        <x:v>꿀</x:v>
      </x:c>
      <x:c r="H28" s="15" t="str"/>
      <x:c r="I28" s="15" t="str"/>
      <x:c r="J28" s="14" t="str">
        <x:v>물 + 생강 + 꿀</x:v>
      </x:c>
      <x:c r="K28" s="17" t="n">
        <x:v>180</x:v>
      </x:c>
      <x:c r="L28" s="18" t="n">
        <x:f>MAX('설정'!$B$6,MIN('설정'!$B$7,ROUND((K28/'설정'!$B$5+'설정'!$B$4)/'설정'!$B$8,0)*'설정'!$B$8))</x:f>
        <x:v>11</x:v>
      </x:c>
      <x:c r="M28" s="17" t="n">
        <x:f>ROUND(K28*(1+'설정'!$B$9),0)</x:f>
        <x:v>198</x:v>
      </x:c>
      <x:c r="N28" s="16" t="n">
        <x:v>39</x:v>
      </x:c>
    </x:row>
    <x:row r="29" ht="21" customHeight="1">
      <x:c r="A29" s="15" t="n">
        <x:v>25</x:v>
      </x:c>
      <x:c r="B29" s="15" t="n">
        <x:v>25</x:v>
      </x:c>
      <x:c r="C29" s="14" t="str">
        <x:v>사과 생강차</x:v>
      </x:c>
      <x:c r="D29" s="15" t="n">
        <x:v>4</x:v>
      </x:c>
      <x:c r="E29" s="15" t="str">
        <x:v>물</x:v>
      </x:c>
      <x:c r="F29" s="15" t="str">
        <x:v>사과</x:v>
      </x:c>
      <x:c r="G29" s="15" t="str">
        <x:v>생강</x:v>
      </x:c>
      <x:c r="H29" s="15" t="str">
        <x:v>꿀</x:v>
      </x:c>
      <x:c r="I29" s="15" t="str"/>
      <x:c r="J29" s="14" t="str">
        <x:v>물 + 사과 + 생강 + 꿀</x:v>
      </x:c>
      <x:c r="K29" s="17" t="n">
        <x:v>190</x:v>
      </x:c>
      <x:c r="L29" s="18" t="n">
        <x:f>MAX('설정'!$B$6,MIN('설정'!$B$7,ROUND((K29/'설정'!$B$5+'설정'!$B$4)/'설정'!$B$8,0)*'설정'!$B$8))</x:f>
        <x:v>11.5</x:v>
      </x:c>
      <x:c r="M29" s="17" t="n">
        <x:f>ROUND(K29*(1+'설정'!$B$9),0)</x:f>
        <x:v>209</x:v>
      </x:c>
      <x:c r="N29" s="16" t="n">
        <x:v>39</x:v>
      </x:c>
    </x:row>
    <x:row r="30" ht="21" customHeight="1">
      <x:c r="A30" s="15" t="n">
        <x:v>26</x:v>
      </x:c>
      <x:c r="B30" s="15" t="n">
        <x:v>26</x:v>
      </x:c>
      <x:c r="C30" s="14" t="str">
        <x:v>시나몬 사과조림</x:v>
      </x:c>
      <x:c r="D30" s="15" t="n">
        <x:v>4</x:v>
      </x:c>
      <x:c r="E30" s="15" t="str">
        <x:v>물</x:v>
      </x:c>
      <x:c r="F30" s="15" t="str">
        <x:v>사과</x:v>
      </x:c>
      <x:c r="G30" s="15" t="str">
        <x:v>시나몬</x:v>
      </x:c>
      <x:c r="H30" s="15" t="str">
        <x:v>꿀</x:v>
      </x:c>
      <x:c r="I30" s="15" t="str"/>
      <x:c r="J30" s="14" t="str">
        <x:v>물 + 사과 + 시나몬 + 꿀</x:v>
      </x:c>
      <x:c r="K30" s="17" t="n">
        <x:v>190</x:v>
      </x:c>
      <x:c r="L30" s="18" t="n">
        <x:f>MAX('설정'!$B$6,MIN('설정'!$B$7,ROUND((K30/'설정'!$B$5+'설정'!$B$4)/'설정'!$B$8,0)*'설정'!$B$8))</x:f>
        <x:v>11.5</x:v>
      </x:c>
      <x:c r="M30" s="17" t="n">
        <x:f>ROUND(K30*(1+'설정'!$B$9),0)</x:f>
        <x:v>209</x:v>
      </x:c>
      <x:c r="N30" s="16" t="n">
        <x:v>34</x:v>
      </x:c>
    </x:row>
    <x:row r="31" ht="21" customHeight="1">
      <x:c r="A31" s="15" t="n">
        <x:v>27</x:v>
      </x:c>
      <x:c r="B31" s="15" t="n">
        <x:v>27</x:v>
      </x:c>
      <x:c r="C31" s="14" t="str">
        <x:v>복숭아 요거트</x:v>
      </x:c>
      <x:c r="D31" s="15" t="n">
        <x:v>3</x:v>
      </x:c>
      <x:c r="E31" s="15" t="str">
        <x:v>복숭아</x:v>
      </x:c>
      <x:c r="F31" s="15" t="str">
        <x:v>꿀</x:v>
      </x:c>
      <x:c r="G31" s="15" t="str">
        <x:v>요거트</x:v>
      </x:c>
      <x:c r="H31" s="15" t="str"/>
      <x:c r="I31" s="15" t="str"/>
      <x:c r="J31" s="14" t="str">
        <x:v>복숭아 + 꿀 + 요거트</x:v>
      </x:c>
      <x:c r="K31" s="17" t="n">
        <x:v>180</x:v>
      </x:c>
      <x:c r="L31" s="18" t="n">
        <x:f>MAX('설정'!$B$6,MIN('설정'!$B$7,ROUND((K31/'설정'!$B$5+'설정'!$B$4)/'설정'!$B$8,0)*'설정'!$B$8))</x:f>
        <x:v>11</x:v>
      </x:c>
      <x:c r="M31" s="17" t="n">
        <x:f>ROUND(K31*(1+'설정'!$B$9),0)</x:f>
        <x:v>198</x:v>
      </x:c>
      <x:c r="N31" s="16" t="n">
        <x:v>34</x:v>
      </x:c>
    </x:row>
    <x:row r="32" ht="21" customHeight="1">
      <x:c r="A32" s="15" t="n">
        <x:v>28</x:v>
      </x:c>
      <x:c r="B32" s="15" t="n">
        <x:v>51</x:v>
      </x:c>
      <x:c r="C32" s="14" t="str">
        <x:v>새콤 양파절임</x:v>
      </x:c>
      <x:c r="D32" s="15" t="n">
        <x:v>2</x:v>
      </x:c>
      <x:c r="E32" s="15" t="str">
        <x:v>양파</x:v>
      </x:c>
      <x:c r="F32" s="15" t="str">
        <x:v>식초</x:v>
      </x:c>
      <x:c r="G32" s="15" t="str"/>
      <x:c r="H32" s="15" t="str"/>
      <x:c r="I32" s="15" t="str"/>
      <x:c r="J32" s="14" t="str">
        <x:v>양파 + 식초</x:v>
      </x:c>
      <x:c r="K32" s="17" t="n">
        <x:v>165</x:v>
      </x:c>
      <x:c r="L32" s="18" t="n">
        <x:f>MAX('설정'!$B$6,MIN('설정'!$B$7,ROUND((K32/'설정'!$B$5+'설정'!$B$4)/'설정'!$B$8,0)*'설정'!$B$8))</x:f>
        <x:v>10.5</x:v>
      </x:c>
      <x:c r="M32" s="17" t="n">
        <x:f>ROUND(K32*(1+'설정'!$B$9),0)</x:f>
        <x:v>182</x:v>
      </x:c>
      <x:c r="N32" s="16" t="n">
        <x:v>26</x:v>
      </x:c>
    </x:row>
    <x:row r="33" ht="21" customHeight="1">
      <x:c r="A33" s="15" t="n">
        <x:v>29</x:v>
      </x:c>
      <x:c r="B33" s="15" t="n">
        <x:v>28</x:v>
      </x:c>
      <x:c r="C33" s="14" t="str">
        <x:v>시나몬 롤</x:v>
      </x:c>
      <x:c r="D33" s="15" t="n">
        <x:v>3</x:v>
      </x:c>
      <x:c r="E33" s="15" t="str">
        <x:v>밀가루</x:v>
      </x:c>
      <x:c r="F33" s="15" t="str">
        <x:v>시나몬</x:v>
      </x:c>
      <x:c r="G33" s="15" t="str">
        <x:v>설탕</x:v>
      </x:c>
      <x:c r="H33" s="15" t="str"/>
      <x:c r="I33" s="15" t="str"/>
      <x:c r="J33" s="14" t="str">
        <x:v>밀가루 + 시나몬 + 설탕</x:v>
      </x:c>
      <x:c r="K33" s="17" t="n">
        <x:v>205</x:v>
      </x:c>
      <x:c r="L33" s="18" t="n">
        <x:f>MAX('설정'!$B$6,MIN('설정'!$B$7,ROUND((K33/'설정'!$B$5+'설정'!$B$4)/'설정'!$B$8,0)*'설정'!$B$8))</x:f>
        <x:v>12.5</x:v>
      </x:c>
      <x:c r="M33" s="17" t="n">
        <x:f>ROUND(K33*(1+'설정'!$B$9),0)</x:f>
        <x:v>226</x:v>
      </x:c>
      <x:c r="N33" s="16" t="n">
        <x:v>40</x:v>
      </x:c>
    </x:row>
    <x:row r="34" ht="21" customHeight="1">
      <x:c r="A34" s="15" t="n">
        <x:v>30</x:v>
      </x:c>
      <x:c r="B34" s="15" t="n">
        <x:v>29</x:v>
      </x:c>
      <x:c r="C34" s="14" t="str">
        <x:v>진저브레드</x:v>
      </x:c>
      <x:c r="D34" s="15" t="n">
        <x:v>3</x:v>
      </x:c>
      <x:c r="E34" s="15" t="str">
        <x:v>밀가루</x:v>
      </x:c>
      <x:c r="F34" s="15" t="str">
        <x:v>생강</x:v>
      </x:c>
      <x:c r="G34" s="15" t="str">
        <x:v>설탕</x:v>
      </x:c>
      <x:c r="H34" s="15" t="str"/>
      <x:c r="I34" s="15" t="str"/>
      <x:c r="J34" s="14" t="str">
        <x:v>밀가루 + 생강 + 설탕</x:v>
      </x:c>
      <x:c r="K34" s="17" t="n">
        <x:v>205</x:v>
      </x:c>
      <x:c r="L34" s="18" t="n">
        <x:f>MAX('설정'!$B$6,MIN('설정'!$B$7,ROUND((K34/'설정'!$B$5+'설정'!$B$4)/'설정'!$B$8,0)*'설정'!$B$8))</x:f>
        <x:v>12.5</x:v>
      </x:c>
      <x:c r="M34" s="17" t="n">
        <x:f>ROUND(K34*(1+'설정'!$B$9),0)</x:f>
        <x:v>226</x:v>
      </x:c>
      <x:c r="N34" s="16" t="n">
        <x:v>40</x:v>
      </x:c>
    </x:row>
    <x:row r="35" ht="21" customHeight="1">
      <x:c r="A35" s="15" t="n">
        <x:v>31</x:v>
      </x:c>
      <x:c r="B35" s="15" t="n">
        <x:v>30</x:v>
      </x:c>
      <x:c r="C35" s="14" t="str">
        <x:v>해바라기씨 파이</x:v>
      </x:c>
      <x:c r="D35" s="15" t="n">
        <x:v>3</x:v>
      </x:c>
      <x:c r="E35" s="15" t="str">
        <x:v>씨앗</x:v>
      </x:c>
      <x:c r="F35" s="15" t="str">
        <x:v>밀가루</x:v>
      </x:c>
      <x:c r="G35" s="15" t="str">
        <x:v>설탕</x:v>
      </x:c>
      <x:c r="H35" s="15" t="str"/>
      <x:c r="I35" s="15" t="str"/>
      <x:c r="J35" s="14" t="str">
        <x:v>씨앗 + 밀가루 + 설탕</x:v>
      </x:c>
      <x:c r="K35" s="17" t="n">
        <x:v>205</x:v>
      </x:c>
      <x:c r="L35" s="18" t="n">
        <x:f>MAX('설정'!$B$6,MIN('설정'!$B$7,ROUND((K35/'설정'!$B$5+'설정'!$B$4)/'설정'!$B$8,0)*'설정'!$B$8))</x:f>
        <x:v>12.5</x:v>
      </x:c>
      <x:c r="M35" s="17" t="n">
        <x:f>ROUND(K35*(1+'설정'!$B$9),0)</x:f>
        <x:v>226</x:v>
      </x:c>
      <x:c r="N35" s="16" t="n">
        <x:v>29</x:v>
      </x:c>
    </x:row>
    <x:row r="36" ht="21" customHeight="1">
      <x:c r="A36" s="15" t="n">
        <x:v>32</x:v>
      </x:c>
      <x:c r="B36" s="15" t="n">
        <x:v>31</x:v>
      </x:c>
      <x:c r="C36" s="14" t="str">
        <x:v>딸기 생크림 케이크</x:v>
      </x:c>
      <x:c r="D36" s="15" t="n">
        <x:v>4</x:v>
      </x:c>
      <x:c r="E36" s="15" t="str">
        <x:v>딸기</x:v>
      </x:c>
      <x:c r="F36" s="15" t="str">
        <x:v>생크림</x:v>
      </x:c>
      <x:c r="G36" s="15" t="str">
        <x:v>밀가루</x:v>
      </x:c>
      <x:c r="H36" s="15" t="str">
        <x:v>설탕</x:v>
      </x:c>
      <x:c r="I36" s="15" t="str"/>
      <x:c r="J36" s="14" t="str">
        <x:v>딸기 + 생크림 + 밀가루 + 설탕</x:v>
      </x:c>
      <x:c r="K36" s="17" t="n">
        <x:v>215</x:v>
      </x:c>
      <x:c r="L36" s="18" t="n">
        <x:f>MAX('설정'!$B$6,MIN('설정'!$B$7,ROUND((K36/'설정'!$B$5+'설정'!$B$4)/'설정'!$B$8,0)*'설정'!$B$8))</x:f>
        <x:v>13</x:v>
      </x:c>
      <x:c r="M36" s="17" t="n">
        <x:f>ROUND(K36*(1+'설정'!$B$9),0)</x:f>
        <x:v>237</x:v>
      </x:c>
      <x:c r="N36" s="16" t="n">
        <x:v>40</x:v>
      </x:c>
    </x:row>
    <x:row r="37" ht="21" customHeight="1">
      <x:c r="A37" s="15" t="n">
        <x:v>33</x:v>
      </x:c>
      <x:c r="B37" s="15" t="n">
        <x:v>32</x:v>
      </x:c>
      <x:c r="C37" s="14" t="str">
        <x:v>체리 사탕</x:v>
      </x:c>
      <x:c r="D37" s="15" t="n">
        <x:v>2</x:v>
      </x:c>
      <x:c r="E37" s="15" t="str">
        <x:v>체리</x:v>
      </x:c>
      <x:c r="F37" s="15" t="str">
        <x:v>설탕</x:v>
      </x:c>
      <x:c r="G37" s="15" t="str"/>
      <x:c r="H37" s="15" t="str"/>
      <x:c r="I37" s="15" t="str"/>
      <x:c r="J37" s="14" t="str">
        <x:v>체리 + 설탕</x:v>
      </x:c>
      <x:c r="K37" s="17" t="n">
        <x:v>190</x:v>
      </x:c>
      <x:c r="L37" s="18" t="n">
        <x:f>MAX('설정'!$B$6,MIN('설정'!$B$7,ROUND((K37/'설정'!$B$5+'설정'!$B$4)/'설정'!$B$8,0)*'설정'!$B$8))</x:f>
        <x:v>11.5</x:v>
      </x:c>
      <x:c r="M37" s="17" t="n">
        <x:f>ROUND(K37*(1+'설정'!$B$9),0)</x:f>
        <x:v>209</x:v>
      </x:c>
      <x:c r="N37" s="16" t="n">
        <x:v>34</x:v>
      </x:c>
    </x:row>
    <x:row r="38" ht="21" customHeight="1">
      <x:c r="A38" s="15" t="n">
        <x:v>34</x:v>
      </x:c>
      <x:c r="B38" s="15" t="n">
        <x:v>33</x:v>
      </x:c>
      <x:c r="C38" s="14" t="str">
        <x:v>과일 가족 모임</x:v>
      </x:c>
      <x:c r="D38" s="15" t="n">
        <x:v>4</x:v>
      </x:c>
      <x:c r="E38" s="15" t="str">
        <x:v>사과</x:v>
      </x:c>
      <x:c r="F38" s="15" t="str">
        <x:v>복숭아</x:v>
      </x:c>
      <x:c r="G38" s="15" t="str">
        <x:v>체리</x:v>
      </x:c>
      <x:c r="H38" s="15" t="str">
        <x:v>딸기</x:v>
      </x:c>
      <x:c r="I38" s="15" t="str"/>
      <x:c r="J38" s="14" t="str">
        <x:v>사과 + 복숭아 + 체리 + 딸기</x:v>
      </x:c>
      <x:c r="K38" s="17" t="n">
        <x:v>215</x:v>
      </x:c>
      <x:c r="L38" s="18" t="n">
        <x:f>MAX('설정'!$B$6,MIN('설정'!$B$7,ROUND((K38/'설정'!$B$5+'설정'!$B$4)/'설정'!$B$8,0)*'설정'!$B$8))</x:f>
        <x:v>13</x:v>
      </x:c>
      <x:c r="M38" s="17" t="n">
        <x:f>ROUND(K38*(1+'설정'!$B$9),0)</x:f>
        <x:v>237</x:v>
      </x:c>
      <x:c r="N38" s="16" t="n">
        <x:v>34</x:v>
      </x:c>
    </x:row>
    <x:row r="39" ht="21" customHeight="1">
      <x:c r="A39" s="15" t="n">
        <x:v>35</x:v>
      </x:c>
      <x:c r="B39" s="15" t="n">
        <x:v>34</x:v>
      </x:c>
      <x:c r="C39" s="14" t="str">
        <x:v>김치전</x:v>
      </x:c>
      <x:c r="D39" s="15" t="n">
        <x:v>2</x:v>
      </x:c>
      <x:c r="E39" s="15" t="str">
        <x:v>김치</x:v>
      </x:c>
      <x:c r="F39" s="15" t="str">
        <x:v>밀가루</x:v>
      </x:c>
      <x:c r="G39" s="15" t="str"/>
      <x:c r="H39" s="15" t="str"/>
      <x:c r="I39" s="15" t="str"/>
      <x:c r="J39" s="14" t="str">
        <x:v>김치 + 밀가루</x:v>
      </x:c>
      <x:c r="K39" s="17" t="n">
        <x:v>215</x:v>
      </x:c>
      <x:c r="L39" s="18" t="n">
        <x:f>MAX('설정'!$B$6,MIN('설정'!$B$7,ROUND((K39/'설정'!$B$5+'설정'!$B$4)/'설정'!$B$8,0)*'설정'!$B$8))</x:f>
        <x:v>13</x:v>
      </x:c>
      <x:c r="M39" s="17" t="n">
        <x:f>ROUND(K39*(1+'설정'!$B$9),0)</x:f>
        <x:v>237</x:v>
      </x:c>
      <x:c r="N39" s="16" t="n">
        <x:v>36</x:v>
      </x:c>
    </x:row>
    <x:row r="40" ht="21" customHeight="1">
      <x:c r="A40" s="15" t="n">
        <x:v>36</x:v>
      </x:c>
      <x:c r="B40" s="15" t="n">
        <x:v>35</x:v>
      </x:c>
      <x:c r="C40" s="14" t="str">
        <x:v>파김치</x:v>
      </x:c>
      <x:c r="D40" s="15" t="n">
        <x:v>2</x:v>
      </x:c>
      <x:c r="E40" s="15" t="str">
        <x:v>김치</x:v>
      </x:c>
      <x:c r="F40" s="15" t="str">
        <x:v>파</x:v>
      </x:c>
      <x:c r="G40" s="15" t="str"/>
      <x:c r="H40" s="15" t="str"/>
      <x:c r="I40" s="15" t="str"/>
      <x:c r="J40" s="14" t="str">
        <x:v>김치 + 파</x:v>
      </x:c>
      <x:c r="K40" s="17" t="n">
        <x:v>215</x:v>
      </x:c>
      <x:c r="L40" s="18" t="n">
        <x:f>MAX('설정'!$B$6,MIN('설정'!$B$7,ROUND((K40/'설정'!$B$5+'설정'!$B$4)/'설정'!$B$8,0)*'설정'!$B$8))</x:f>
        <x:v>13</x:v>
      </x:c>
      <x:c r="M40" s="17" t="n">
        <x:f>ROUND(K40*(1+'설정'!$B$9),0)</x:f>
        <x:v>237</x:v>
      </x:c>
      <x:c r="N40" s="16" t="n">
        <x:v>6</x:v>
      </x:c>
    </x:row>
    <x:row r="41" ht="21" customHeight="1">
      <x:c r="A41" s="15" t="n">
        <x:v>37</x:v>
      </x:c>
      <x:c r="B41" s="15" t="n">
        <x:v>36</x:v>
      </x:c>
      <x:c r="C41" s="14" t="str">
        <x:v>된장국</x:v>
      </x:c>
      <x:c r="D41" s="15" t="n">
        <x:v>2</x:v>
      </x:c>
      <x:c r="E41" s="15" t="str">
        <x:v>물</x:v>
      </x:c>
      <x:c r="F41" s="15" t="str">
        <x:v>된장</x:v>
      </x:c>
      <x:c r="G41" s="15" t="str"/>
      <x:c r="H41" s="15" t="str"/>
      <x:c r="I41" s="15" t="str"/>
      <x:c r="J41" s="14" t="str">
        <x:v>물 + 된장</x:v>
      </x:c>
      <x:c r="K41" s="17" t="n">
        <x:v>215</x:v>
      </x:c>
      <x:c r="L41" s="18" t="n">
        <x:f>MAX('설정'!$B$6,MIN('설정'!$B$7,ROUND((K41/'설정'!$B$5+'설정'!$B$4)/'설정'!$B$8,0)*'설정'!$B$8))</x:f>
        <x:v>13</x:v>
      </x:c>
      <x:c r="M41" s="17" t="n">
        <x:f>ROUND(K41*(1+'설정'!$B$9),0)</x:f>
        <x:v>237</x:v>
      </x:c>
      <x:c r="N41" s="16" t="n">
        <x:v>39</x:v>
      </x:c>
    </x:row>
    <x:row r="42" ht="21" customHeight="1">
      <x:c r="A42" s="15" t="n">
        <x:v>38</x:v>
      </x:c>
      <x:c r="B42" s="15" t="n">
        <x:v>37</x:v>
      </x:c>
      <x:c r="C42" s="14" t="str">
        <x:v>불고기</x:v>
      </x:c>
      <x:c r="D42" s="15" t="n">
        <x:v>3</x:v>
      </x:c>
      <x:c r="E42" s="15" t="str">
        <x:v>고기</x:v>
      </x:c>
      <x:c r="F42" s="15" t="str">
        <x:v>간장</x:v>
      </x:c>
      <x:c r="G42" s="15" t="str">
        <x:v>양파</x:v>
      </x:c>
      <x:c r="H42" s="15" t="str"/>
      <x:c r="I42" s="15" t="str"/>
      <x:c r="J42" s="14" t="str">
        <x:v>고기 + 간장 + 양파</x:v>
      </x:c>
      <x:c r="K42" s="17" t="n">
        <x:v>230</x:v>
      </x:c>
      <x:c r="L42" s="18" t="n">
        <x:f>MAX('설정'!$B$6,MIN('설정'!$B$7,ROUND((K42/'설정'!$B$5+'설정'!$B$4)/'설정'!$B$8,0)*'설정'!$B$8))</x:f>
        <x:v>13.5</x:v>
      </x:c>
      <x:c r="M42" s="17" t="n">
        <x:f>ROUND(K42*(1+'설정'!$B$9),0)</x:f>
        <x:v>253</x:v>
      </x:c>
      <x:c r="N42" s="16" t="n">
        <x:v>19</x:v>
      </x:c>
    </x:row>
    <x:row r="43" ht="21" customHeight="1">
      <x:c r="A43" s="15" t="n">
        <x:v>39</x:v>
      </x:c>
      <x:c r="B43" s="15" t="n">
        <x:v>38</x:v>
      </x:c>
      <x:c r="C43" s="14" t="str">
        <x:v>계란볶음밥</x:v>
      </x:c>
      <x:c r="D43" s="15" t="n">
        <x:v>3</x:v>
      </x:c>
      <x:c r="E43" s="15" t="str">
        <x:v>쌀</x:v>
      </x:c>
      <x:c r="F43" s="15" t="str">
        <x:v>계란</x:v>
      </x:c>
      <x:c r="G43" s="15" t="str">
        <x:v>식용유</x:v>
      </x:c>
      <x:c r="H43" s="15" t="str"/>
      <x:c r="I43" s="15" t="str"/>
      <x:c r="J43" s="14" t="str">
        <x:v>쌀 + 계란 + 식용유</x:v>
      </x:c>
      <x:c r="K43" s="17" t="n">
        <x:v>230</x:v>
      </x:c>
      <x:c r="L43" s="18" t="n">
        <x:f>MAX('설정'!$B$6,MIN('설정'!$B$7,ROUND((K43/'설정'!$B$5+'설정'!$B$4)/'설정'!$B$8,0)*'설정'!$B$8))</x:f>
        <x:v>13.5</x:v>
      </x:c>
      <x:c r="M43" s="17" t="n">
        <x:f>ROUND(K43*(1+'설정'!$B$9),0)</x:f>
        <x:v>253</x:v>
      </x:c>
      <x:c r="N43" s="16" t="n">
        <x:v>8</x:v>
      </x:c>
    </x:row>
    <x:row r="44" ht="21" customHeight="1">
      <x:c r="A44" s="15" t="n">
        <x:v>40</x:v>
      </x:c>
      <x:c r="B44" s="15" t="n">
        <x:v>39</x:v>
      </x:c>
      <x:c r="C44" s="14" t="str">
        <x:v>김치볶음밥</x:v>
      </x:c>
      <x:c r="D44" s="15" t="n">
        <x:v>3</x:v>
      </x:c>
      <x:c r="E44" s="15" t="str">
        <x:v>김치</x:v>
      </x:c>
      <x:c r="F44" s="15" t="str">
        <x:v>식용유</x:v>
      </x:c>
      <x:c r="G44" s="15" t="str">
        <x:v>쌀</x:v>
      </x:c>
      <x:c r="H44" s="15" t="str"/>
      <x:c r="I44" s="15" t="str"/>
      <x:c r="J44" s="14" t="str">
        <x:v>김치 + 식용유 + 쌀</x:v>
      </x:c>
      <x:c r="K44" s="17" t="n">
        <x:v>230</x:v>
      </x:c>
      <x:c r="L44" s="18" t="n">
        <x:f>MAX('설정'!$B$6,MIN('설정'!$B$7,ROUND((K44/'설정'!$B$5+'설정'!$B$4)/'설정'!$B$8,0)*'설정'!$B$8))</x:f>
        <x:v>13.5</x:v>
      </x:c>
      <x:c r="M44" s="17" t="n">
        <x:f>ROUND(K44*(1+'설정'!$B$9),0)</x:f>
        <x:v>253</x:v>
      </x:c>
      <x:c r="N44" s="16" t="n">
        <x:v>8</x:v>
      </x:c>
    </x:row>
    <x:row r="45" ht="21" customHeight="1">
      <x:c r="A45" s="15" t="n">
        <x:v>41</x:v>
      </x:c>
      <x:c r="B45" s="15" t="n">
        <x:v>40</x:v>
      </x:c>
      <x:c r="C45" s="14" t="str">
        <x:v>양배추 딤섬</x:v>
      </x:c>
      <x:c r="D45" s="15" t="n">
        <x:v>4</x:v>
      </x:c>
      <x:c r="E45" s="15" t="str">
        <x:v>양배추</x:v>
      </x:c>
      <x:c r="F45" s="15" t="str">
        <x:v>밀가루</x:v>
      </x:c>
      <x:c r="G45" s="15" t="str">
        <x:v>고기</x:v>
      </x:c>
      <x:c r="H45" s="15" t="str">
        <x:v>파</x:v>
      </x:c>
      <x:c r="I45" s="15" t="str"/>
      <x:c r="J45" s="14" t="str">
        <x:v>양배추 + 밀가루 + 고기 + 파</x:v>
      </x:c>
      <x:c r="K45" s="17" t="n">
        <x:v>265</x:v>
      </x:c>
      <x:c r="L45" s="18" t="n">
        <x:f>MAX('설정'!$B$6,MIN('설정'!$B$7,ROUND((K45/'설정'!$B$5+'설정'!$B$4)/'설정'!$B$8,0)*'설정'!$B$8))</x:f>
        <x:v>15.5</x:v>
      </x:c>
      <x:c r="M45" s="17" t="n">
        <x:f>ROUND(K45*(1+'설정'!$B$9),0)</x:f>
        <x:v>292</x:v>
      </x:c>
      <x:c r="N45" s="16" t="n">
        <x:v>12</x:v>
      </x:c>
    </x:row>
    <x:row r="46" ht="21" customHeight="1">
      <x:c r="A46" s="15" t="n">
        <x:v>42</x:v>
      </x:c>
      <x:c r="B46" s="15" t="n">
        <x:v>41</x:v>
      </x:c>
      <x:c r="C46" s="14" t="str">
        <x:v>가지 소고기 덮밥</x:v>
      </x:c>
      <x:c r="D46" s="15" t="n">
        <x:v>5</x:v>
      </x:c>
      <x:c r="E46" s="15" t="str">
        <x:v>가지</x:v>
      </x:c>
      <x:c r="F46" s="15" t="str">
        <x:v>고기</x:v>
      </x:c>
      <x:c r="G46" s="15" t="str">
        <x:v>쌀</x:v>
      </x:c>
      <x:c r="H46" s="15" t="str">
        <x:v>양파</x:v>
      </x:c>
      <x:c r="I46" s="15" t="str">
        <x:v>간장</x:v>
      </x:c>
      <x:c r="J46" s="14" t="str">
        <x:v>가지 + 고기 + 쌀 + 양파 + 간장</x:v>
      </x:c>
      <x:c r="K46" s="17" t="n">
        <x:v>280</x:v>
      </x:c>
      <x:c r="L46" s="18" t="n">
        <x:f>MAX('설정'!$B$6,MIN('설정'!$B$7,ROUND((K46/'설정'!$B$5+'설정'!$B$4)/'설정'!$B$8,0)*'설정'!$B$8))</x:f>
        <x:v>16</x:v>
      </x:c>
      <x:c r="M46" s="17" t="n">
        <x:f>ROUND(K46*(1+'설정'!$B$9),0)</x:f>
        <x:v>308</x:v>
      </x:c>
      <x:c r="N46" s="16" t="n">
        <x:v>19</x:v>
      </x:c>
    </x:row>
    <x:row r="47" ht="21" customHeight="1">
      <x:c r="A47" s="15" t="n">
        <x:v>43</x:v>
      </x:c>
      <x:c r="B47" s="15" t="n">
        <x:v>42</x:v>
      </x:c>
      <x:c r="C47" s="14" t="str">
        <x:v>씨앗 오이 샐러드</x:v>
      </x:c>
      <x:c r="D47" s="15" t="n">
        <x:v>3</x:v>
      </x:c>
      <x:c r="E47" s="15" t="str">
        <x:v>씨앗</x:v>
      </x:c>
      <x:c r="F47" s="15" t="str">
        <x:v>오이</x:v>
      </x:c>
      <x:c r="G47" s="15" t="str">
        <x:v>나뭇잎</x:v>
      </x:c>
      <x:c r="H47" s="15" t="str"/>
      <x:c r="I47" s="15" t="str"/>
      <x:c r="J47" s="14" t="str">
        <x:v>씨앗 + 오이 + 나뭇잎</x:v>
      </x:c>
      <x:c r="K47" s="17" t="n">
        <x:v>255</x:v>
      </x:c>
      <x:c r="L47" s="18" t="n">
        <x:f>MAX('설정'!$B$6,MIN('설정'!$B$7,ROUND((K47/'설정'!$B$5+'설정'!$B$4)/'설정'!$B$8,0)*'설정'!$B$8))</x:f>
        <x:v>15</x:v>
      </x:c>
      <x:c r="M47" s="17" t="n">
        <x:f>ROUND(K47*(1+'설정'!$B$9),0)</x:f>
        <x:v>281</x:v>
      </x:c>
      <x:c r="N47" s="16" t="n">
        <x:v>1</x:v>
      </x:c>
    </x:row>
    <x:row r="48" ht="21" customHeight="1">
      <x:c r="A48" s="15" t="n">
        <x:v>44</x:v>
      </x:c>
      <x:c r="B48" s="15" t="n">
        <x:v>43</x:v>
      </x:c>
      <x:c r="C48" s="14" t="str">
        <x:v>마늘 김치볶음</x:v>
      </x:c>
      <x:c r="D48" s="15" t="n">
        <x:v>3</x:v>
      </x:c>
      <x:c r="E48" s="15" t="str">
        <x:v>김치</x:v>
      </x:c>
      <x:c r="F48" s="15" t="str">
        <x:v>식용유</x:v>
      </x:c>
      <x:c r="G48" s="15" t="str">
        <x:v>마늘</x:v>
      </x:c>
      <x:c r="H48" s="15" t="str"/>
      <x:c r="I48" s="15" t="str"/>
      <x:c r="J48" s="14" t="str">
        <x:v>김치 + 식용유 + 마늘</x:v>
      </x:c>
      <x:c r="K48" s="17" t="n">
        <x:v>255</x:v>
      </x:c>
      <x:c r="L48" s="18" t="n">
        <x:f>MAX('설정'!$B$6,MIN('설정'!$B$7,ROUND((K48/'설정'!$B$5+'설정'!$B$4)/'설정'!$B$8,0)*'설정'!$B$8))</x:f>
        <x:v>15</x:v>
      </x:c>
      <x:c r="M48" s="17" t="n">
        <x:f>ROUND(K48*(1+'설정'!$B$9),0)</x:f>
        <x:v>281</x:v>
      </x:c>
      <x:c r="N48" s="16" t="n">
        <x:v>19</x:v>
      </x:c>
    </x:row>
    <x:row r="49" ht="21" customHeight="1">
      <x:c r="A49" s="15" t="n">
        <x:v>45</x:v>
      </x:c>
      <x:c r="B49" s="15" t="n">
        <x:v>44</x:v>
      </x:c>
      <x:c r="C49" s="14" t="str">
        <x:v>마늘 육회</x:v>
      </x:c>
      <x:c r="D49" s="15" t="n">
        <x:v>4</x:v>
      </x:c>
      <x:c r="E49" s="15" t="str">
        <x:v>고기</x:v>
      </x:c>
      <x:c r="F49" s="15" t="str">
        <x:v>계란</x:v>
      </x:c>
      <x:c r="G49" s="15" t="str">
        <x:v>파</x:v>
      </x:c>
      <x:c r="H49" s="15" t="str">
        <x:v>마늘</x:v>
      </x:c>
      <x:c r="I49" s="15" t="str"/>
      <x:c r="J49" s="14" t="str">
        <x:v>고기 + 계란 + 파 + 마늘</x:v>
      </x:c>
      <x:c r="K49" s="17" t="n">
        <x:v>265</x:v>
      </x:c>
      <x:c r="L49" s="18" t="n">
        <x:f>MAX('설정'!$B$6,MIN('설정'!$B$7,ROUND((K49/'설정'!$B$5+'설정'!$B$4)/'설정'!$B$8,0)*'설정'!$B$8))</x:f>
        <x:v>15.5</x:v>
      </x:c>
      <x:c r="M49" s="17" t="n">
        <x:f>ROUND(K49*(1+'설정'!$B$9),0)</x:f>
        <x:v>292</x:v>
      </x:c>
      <x:c r="N49" s="16" t="n">
        <x:v>19</x:v>
      </x:c>
    </x:row>
    <x:row r="50" ht="21" customHeight="1">
      <x:c r="A50" s="15" t="n">
        <x:v>46</x:v>
      </x:c>
      <x:c r="B50" s="15" t="n">
        <x:v>45</x:v>
      </x:c>
      <x:c r="C50" s="14" t="str">
        <x:v>치즈 간장계란밥</x:v>
      </x:c>
      <x:c r="D50" s="15" t="n">
        <x:v>4</x:v>
      </x:c>
      <x:c r="E50" s="15" t="str">
        <x:v>쌀</x:v>
      </x:c>
      <x:c r="F50" s="15" t="str">
        <x:v>계란</x:v>
      </x:c>
      <x:c r="G50" s="15" t="str">
        <x:v>간장</x:v>
      </x:c>
      <x:c r="H50" s="15" t="str">
        <x:v>치즈</x:v>
      </x:c>
      <x:c r="I50" s="15" t="str"/>
      <x:c r="J50" s="14" t="str">
        <x:v>쌀 + 계란 + 간장 + 치즈</x:v>
      </x:c>
      <x:c r="K50" s="17" t="n">
        <x:v>290</x:v>
      </x:c>
      <x:c r="L50" s="18" t="n">
        <x:f>MAX('설정'!$B$6,MIN('설정'!$B$7,ROUND((K50/'설정'!$B$5+'설정'!$B$4)/'설정'!$B$8,0)*'설정'!$B$8))</x:f>
        <x:v>16.5</x:v>
      </x:c>
      <x:c r="M50" s="17" t="n">
        <x:f>ROUND(K50*(1+'설정'!$B$9),0)</x:f>
        <x:v>319</x:v>
      </x:c>
      <x:c r="N50" s="16" t="n">
        <x:v>22</x:v>
      </x:c>
    </x:row>
    <x:row r="51" ht="21" customHeight="1">
      <x:c r="A51" s="15" t="n">
        <x:v>47</x:v>
      </x:c>
      <x:c r="B51" s="15" t="n">
        <x:v>46</x:v>
      </x:c>
      <x:c r="C51" s="14" t="str">
        <x:v>연어덮밥</x:v>
      </x:c>
      <x:c r="D51" s="15" t="n">
        <x:v>4</x:v>
      </x:c>
      <x:c r="E51" s="15" t="str">
        <x:v>쌀</x:v>
      </x:c>
      <x:c r="F51" s="15" t="str">
        <x:v>연어</x:v>
      </x:c>
      <x:c r="G51" s="15" t="str">
        <x:v>양파</x:v>
      </x:c>
      <x:c r="H51" s="15" t="str">
        <x:v>간장</x:v>
      </x:c>
      <x:c r="I51" s="15" t="str"/>
      <x:c r="J51" s="14" t="str">
        <x:v>쌀 + 연어 + 양파 + 간장</x:v>
      </x:c>
      <x:c r="K51" s="17" t="n">
        <x:v>290</x:v>
      </x:c>
      <x:c r="L51" s="18" t="n">
        <x:f>MAX('설정'!$B$6,MIN('설정'!$B$7,ROUND((K51/'설정'!$B$5+'설정'!$B$4)/'설정'!$B$8,0)*'설정'!$B$8))</x:f>
        <x:v>16.5</x:v>
      </x:c>
      <x:c r="M51" s="17" t="n">
        <x:f>ROUND(K51*(1+'설정'!$B$9),0)</x:f>
        <x:v>319</x:v>
      </x:c>
      <x:c r="N51" s="16" t="n">
        <x:v>18</x:v>
      </x:c>
    </x:row>
    <x:row r="52" ht="21" customHeight="1">
      <x:c r="A52" s="15" t="n">
        <x:v>48</x:v>
      </x:c>
      <x:c r="B52" s="15" t="n">
        <x:v>47</x:v>
      </x:c>
      <x:c r="C52" s="14" t="str">
        <x:v>대구구이</x:v>
      </x:c>
      <x:c r="D52" s="15" t="n">
        <x:v>2</x:v>
      </x:c>
      <x:c r="E52" s="15" t="str">
        <x:v>대구</x:v>
      </x:c>
      <x:c r="F52" s="15" t="str">
        <x:v>소금</x:v>
      </x:c>
      <x:c r="G52" s="15" t="str"/>
      <x:c r="H52" s="15" t="str"/>
      <x:c r="I52" s="15" t="str"/>
      <x:c r="J52" s="14" t="str">
        <x:v>대구 + 소금</x:v>
      </x:c>
      <x:c r="K52" s="17" t="n">
        <x:v>265</x:v>
      </x:c>
      <x:c r="L52" s="18" t="n">
        <x:f>MAX('설정'!$B$6,MIN('설정'!$B$7,ROUND((K52/'설정'!$B$5+'설정'!$B$4)/'설정'!$B$8,0)*'설정'!$B$8))</x:f>
        <x:v>15.5</x:v>
      </x:c>
      <x:c r="M52" s="17" t="n">
        <x:f>ROUND(K52*(1+'설정'!$B$9),0)</x:f>
        <x:v>292</x:v>
      </x:c>
      <x:c r="N52" s="16" t="n">
        <x:v>18</x:v>
      </x:c>
    </x:row>
    <x:row r="53" ht="21" customHeight="1">
      <x:c r="A53" s="15" t="n">
        <x:v>49</x:v>
      </x:c>
      <x:c r="B53" s="15" t="n">
        <x:v>48</x:v>
      </x:c>
      <x:c r="C53" s="14" t="str">
        <x:v>연어구이</x:v>
      </x:c>
      <x:c r="D53" s="15" t="n">
        <x:v>2</x:v>
      </x:c>
      <x:c r="E53" s="15" t="str">
        <x:v>연어</x:v>
      </x:c>
      <x:c r="F53" s="15" t="str">
        <x:v>소금</x:v>
      </x:c>
      <x:c r="G53" s="15" t="str"/>
      <x:c r="H53" s="15" t="str"/>
      <x:c r="I53" s="15" t="str"/>
      <x:c r="J53" s="14" t="str">
        <x:v>연어 + 소금</x:v>
      </x:c>
      <x:c r="K53" s="17" t="n">
        <x:v>265</x:v>
      </x:c>
      <x:c r="L53" s="18" t="n">
        <x:f>MAX('설정'!$B$6,MIN('설정'!$B$7,ROUND((K53/'설정'!$B$5+'설정'!$B$4)/'설정'!$B$8,0)*'설정'!$B$8))</x:f>
        <x:v>15.5</x:v>
      </x:c>
      <x:c r="M53" s="17" t="n">
        <x:f>ROUND(K53*(1+'설정'!$B$9),0)</x:f>
        <x:v>292</x:v>
      </x:c>
      <x:c r="N53" s="16" t="n">
        <x:v>18</x:v>
      </x:c>
    </x:row>
    <x:row r="54" ht="21" customHeight="1">
      <x:c r="A54" s="15" t="n">
        <x:v>50</x:v>
      </x:c>
      <x:c r="B54" s="15" t="n">
        <x:v>49</x:v>
      </x:c>
      <x:c r="C54" s="14" t="str">
        <x:v>연어초밥</x:v>
      </x:c>
      <x:c r="D54" s="15" t="n">
        <x:v>4</x:v>
      </x:c>
      <x:c r="E54" s="15" t="str">
        <x:v>연어</x:v>
      </x:c>
      <x:c r="F54" s="15" t="str">
        <x:v>쌀</x:v>
      </x:c>
      <x:c r="G54" s="15" t="str">
        <x:v>식초</x:v>
      </x:c>
      <x:c r="H54" s="15" t="str">
        <x:v>설탕</x:v>
      </x:c>
      <x:c r="I54" s="15" t="str"/>
      <x:c r="J54" s="14" t="str">
        <x:v>연어 + 쌀 + 식초 + 설탕</x:v>
      </x:c>
      <x:c r="K54" s="17" t="n">
        <x:v>290</x:v>
      </x:c>
      <x:c r="L54" s="18" t="n">
        <x:f>MAX('설정'!$B$6,MIN('설정'!$B$7,ROUND((K54/'설정'!$B$5+'설정'!$B$4)/'설정'!$B$8,0)*'설정'!$B$8))</x:f>
        <x:v>16.5</x:v>
      </x:c>
      <x:c r="M54" s="17" t="n">
        <x:f>ROUND(K54*(1+'설정'!$B$9),0)</x:f>
        <x:v>319</x:v>
      </x:c>
      <x:c r="N54" s="16" t="n">
        <x:v>18</x:v>
      </x:c>
    </x:row>
    <x:row r="55" ht="21" customHeight="1">
      <x:c r="A55" s="15" t="n">
        <x:v>51</x:v>
      </x:c>
      <x:c r="B55" s="15" t="n">
        <x:v>50</x:v>
      </x:c>
      <x:c r="C55" s="14" t="str">
        <x:v>치즈 오믈렛</x:v>
      </x:c>
      <x:c r="D55" s="15" t="n">
        <x:v>4</x:v>
      </x:c>
      <x:c r="E55" s="15" t="str">
        <x:v>계란</x:v>
      </x:c>
      <x:c r="F55" s="15" t="str">
        <x:v>우유</x:v>
      </x:c>
      <x:c r="G55" s="15" t="str">
        <x:v>치즈</x:v>
      </x:c>
      <x:c r="H55" s="15" t="str">
        <x:v>식용유</x:v>
      </x:c>
      <x:c r="I55" s="15" t="str"/>
      <x:c r="J55" s="14" t="str">
        <x:v>계란 + 우유 + 치즈 + 식용유</x:v>
      </x:c>
      <x:c r="K55" s="17" t="n">
        <x:v>290</x:v>
      </x:c>
      <x:c r="L55" s="18" t="n">
        <x:f>MAX('설정'!$B$6,MIN('설정'!$B$7,ROUND((K55/'설정'!$B$5+'설정'!$B$4)/'설정'!$B$8,0)*'설정'!$B$8))</x:f>
        <x:v>16.5</x:v>
      </x:c>
      <x:c r="M55" s="17" t="n">
        <x:f>ROUND(K55*(1+'설정'!$B$9),0)</x:f>
        <x:v>319</x:v>
      </x:c>
      <x:c r="N55" s="16" t="n">
        <x:v>22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dd90599e5d72465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38" hidden="0" customWidth="1"/>
  </x:cols>
  <x:sheetData>
    <x:row r="1" ht="30" customHeight="1">
      <x:c r="A1" s="22" t="str">
        <x:v>프로토타입 계산 설정</x:v>
      </x:c>
      <x:c r="B1" s="22"/>
      <x:c r="C1" s="22"/>
    </x:row>
    <x:row r="3">
      <x:c r="A3" s="38" t="str">
        <x:v>항목</x:v>
      </x:c>
      <x:c r="B3" s="39" t="str">
        <x:v>값</x:v>
      </x:c>
      <x:c r="C3" s="40" t="str">
        <x:v>설명</x:v>
      </x:c>
    </x:row>
    <x:row r="4">
      <x:c r="A4" s="43" t="str">
        <x:v>조리 기본시간</x:v>
      </x:c>
      <x:c r="B4" s="41" t="n">
        <x:v>2</x:v>
      </x:c>
      <x:c r="C4" s="28" t="str">
        <x:v>판매가 비례 시간에 더하는 초</x:v>
      </x:c>
    </x:row>
    <x:row r="5">
      <x:c r="A5" s="43" t="str">
        <x:v>초당 가격</x:v>
      </x:c>
      <x:c r="B5" s="41" t="n">
        <x:v>20</x:v>
      </x:c>
      <x:c r="C5" s="28" t="str">
        <x:v>판매가 20원마다 조리시간 1초</x:v>
      </x:c>
    </x:row>
    <x:row r="6">
      <x:c r="A6" s="43" t="str">
        <x:v>최소 조리시간</x:v>
      </x:c>
      <x:c r="B6" s="41" t="n">
        <x:v>4</x:v>
      </x:c>
      <x:c r="C6" s="28" t="str">
        <x:v>초</x:v>
      </x:c>
    </x:row>
    <x:row r="7">
      <x:c r="A7" s="43" t="str">
        <x:v>최대 조리시간</x:v>
      </x:c>
      <x:c r="B7" s="41" t="n">
        <x:v>24</x:v>
      </x:c>
      <x:c r="C7" s="28" t="str">
        <x:v>초</x:v>
      </x:c>
    </x:row>
    <x:row r="8">
      <x:c r="A8" s="43" t="str">
        <x:v>조리시간 단위</x:v>
      </x:c>
      <x:c r="B8" s="41" t="n">
        <x:v>0.5</x:v>
      </x:c>
      <x:c r="C8" s="28" t="str">
        <x:v>0.5초 단위 반올림</x:v>
      </x:c>
    </x:row>
    <x:row r="9">
      <x:c r="A9" s="44" t="str">
        <x:v>레벨업 가격 상승률</x:v>
      </x:c>
      <x:c r="B9" s="42" t="n">
        <x:v>0.1</x:v>
      </x:c>
      <x:c r="C9" s="31" t="str">
        <x:v>레벨당 10%</x:v>
      </x:c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6" hidden="0" customWidth="1"/>
    <x:col min="4" max="4" width="15" hidden="0" customWidth="1"/>
    <x:col min="5" max="5" width="15" hidden="0" customWidth="1"/>
    <x:col min="6" max="6" width="72" hidden="0" customWidth="1"/>
  </x:cols>
  <x:sheetData>
    <x:row r="1" ht="34" customHeight="1">
      <x:c r="A1" s="48" t="str">
        <x:v>재료 사용 분석</x:v>
      </x:c>
      <x:c r="B1" s="48"/>
      <x:c r="C1" s="48"/>
      <x:c r="D1" s="48"/>
      <x:c r="E1" s="48"/>
      <x:c r="F1" s="48"/>
    </x:row>
    <x:row r="2" ht="22" customHeight="1">
      <x:c r="A2" s="52" t="str">
        <x:v>물 제외 · 41종 · 현재 레시피 51개 기준</x:v>
      </x:c>
      <x:c r="B2" s="52"/>
      <x:c r="C2" s="52"/>
      <x:c r="D2" s="52"/>
      <x:c r="E2" s="52"/>
      <x:c r="F2" s="52"/>
    </x:row>
    <x:row r="4">
      <x:c r="A4" s="55" t="str">
        <x:v>가장 많이 사용</x:v>
      </x:c>
      <x:c r="B4" s="55"/>
      <x:c r="C4" s="55"/>
      <x:c r="D4" s="84" t="str">
        <x:v>가장 적게 사용</x:v>
      </x:c>
      <x:c r="E4" s="84"/>
      <x:c r="F4" s="84"/>
    </x:row>
    <x:row r="5" ht="27" customHeight="1">
      <x:c r="A5" s="76" t="str">
        <x:v>밀가루 · 11개 레시피</x:v>
      </x:c>
      <x:c r="B5" s="77"/>
      <x:c r="C5" s="78"/>
      <x:c r="D5" s="105" t="str">
        <x:v>가지, 대구, 된장, 새싹, 아보카도, 양배추, 오이, 요거트, 우유, 트러플, 후추 · 각 1개 레시피</x:v>
      </x:c>
      <x:c r="E5" s="106"/>
      <x:c r="F5" s="107"/>
    </x:row>
    <x:row r="6" ht="27" customHeight="1">
      <x:c r="A6" s="79"/>
      <x:c r="B6" s="80"/>
      <x:c r="C6" s="81"/>
      <x:c r="D6" s="108"/>
      <x:c r="E6" s="109"/>
      <x:c r="F6" s="110"/>
    </x:row>
    <x:row r="8">
      <x:c r="A8" s="114" t="str">
        <x:v>사용 레시피 수는 같은 요리에 중복된 재료를 1회로 계산하며, 총 투입 슬롯은 중복 수량까지 포함합니다.</x:v>
      </x:c>
      <x:c r="B8" s="114"/>
      <x:c r="C8" s="114"/>
      <x:c r="D8" s="114"/>
      <x:c r="E8" s="114"/>
      <x:c r="F8" s="114"/>
    </x:row>
    <x:row r="10">
      <x:c r="A10" t="str">
        <x:v>순위</x:v>
      </x:c>
      <x:c r="B10" t="str">
        <x:v>재료</x:v>
      </x:c>
      <x:c r="C10" t="str">
        <x:v>사용 레시피 수</x:v>
      </x:c>
      <x:c r="D10" t="str">
        <x:v>총 투입 슬롯</x:v>
      </x:c>
      <x:c r="E10" t="str">
        <x:v>레시피 사용률</x:v>
      </x:c>
      <x:c r="F10" t="str">
        <x:v>사용 레시피</x:v>
      </x:c>
    </x:row>
    <x:row r="11" ht="32" customHeight="1">
      <x:c r="A11" s="12" t="n">
        <x:v>1</x:v>
      </x:c>
      <x:c r="B11" s="11" t="str">
        <x:v>밀가루</x:v>
      </x:c>
      <x:c r="C11" s="13" t="n">
        <x:v>11</x:v>
      </x:c>
      <x:c r="D11" s="13" t="n">
        <x:v>11</x:v>
      </x:c>
      <x:c r="E11" s="117" t="n">
        <x:f>C11/COUNTA('레시피 목록'!$C$5:$C$55)</x:f>
        <x:v>0.21568627450980393</x:v>
      </x:c>
      <x:c r="F11" s="118" t="str">
        <x:v>병아리콩 팬케이크, 육전, 벌레 파이, 새싹전, 바삭 벌레구이, 시나몬 롤, 진저브레드, 해바라기씨 파이, 딸기 생크림 케이크, 김치전, 양배추 딤섬</x:v>
      </x:c>
    </x:row>
    <x:row r="12" ht="32" customHeight="1">
      <x:c r="A12" s="12" t="n">
        <x:v>2</x:v>
      </x:c>
      <x:c r="B12" s="11" t="str">
        <x:v>고기</x:v>
      </x:c>
      <x:c r="C12" s="13" t="n">
        <x:v>10</x:v>
      </x:c>
      <x:c r="D12" s="13" t="n">
        <x:v>10</x:v>
      </x:c>
      <x:c r="E12" s="117" t="n">
        <x:f>C12/COUNTA('레시피 목록'!$C$5:$C$55)</x:f>
        <x:v>0.19607843137254902</x:v>
      </x:c>
      <x:c r="F12" s="118" t="str">
        <x:v>삶은 고기, 육전, 고기쌈, 열매꼬치구이, 고단백 식품, 후추 스테이크, 불고기, 양배추 딤섬, 가지 소고기 덮밥, 마늘 육회</x:v>
      </x:c>
    </x:row>
    <x:row r="13" ht="32" customHeight="1">
      <x:c r="A13" s="12" t="n">
        <x:v>3</x:v>
      </x:c>
      <x:c r="B13" s="11" t="str">
        <x:v>쌀</x:v>
      </x:c>
      <x:c r="C13" s="13" t="n">
        <x:v>9</x:v>
      </x:c>
      <x:c r="D13" s="13" t="n">
        <x:v>9</x:v>
      </x:c>
      <x:c r="E13" s="117" t="n">
        <x:f>C13/COUNTA('레시피 목록'!$C$5:$C$55)</x:f>
        <x:v>0.17647058823529413</x:v>
      </x:c>
      <x:c r="F13" s="118" t="str">
        <x:v>쌀밥, 병아리콩 밥, 트러플 크림 리조또, 계란볶음밥, 김치볶음밥, 가지 소고기 덮밥, 치즈 간장계란밥, 연어덮밥, 연어초밥</x:v>
      </x:c>
    </x:row>
    <x:row r="14" ht="32" customHeight="1">
      <x:c r="A14" s="12" t="n">
        <x:v>4</x:v>
      </x:c>
      <x:c r="B14" s="11" t="str">
        <x:v>설탕</x:v>
      </x:c>
      <x:c r="C14" s="13" t="n">
        <x:v>6</x:v>
      </x:c>
      <x:c r="D14" s="13" t="n">
        <x:v>6</x:v>
      </x:c>
      <x:c r="E14" s="117" t="n">
        <x:f>C14/COUNTA('레시피 목록'!$C$5:$C$55)</x:f>
        <x:v>0.11764705882352941</x:v>
      </x:c>
      <x:c r="F14" s="118" t="str">
        <x:v>시나몬 롤, 진저브레드, 해바라기씨 파이, 딸기 생크림 케이크, 체리 사탕, 연어초밥</x:v>
      </x:c>
    </x:row>
    <x:row r="15" ht="32" customHeight="1">
      <x:c r="A15" s="12" t="n">
        <x:v>5</x:v>
      </x:c>
      <x:c r="B15" s="11" t="str">
        <x:v>병아리콩</x:v>
      </x:c>
      <x:c r="C15" s="13" t="n">
        <x:v>5</x:v>
      </x:c>
      <x:c r="D15" s="13" t="n">
        <x:v>7</x:v>
      </x:c>
      <x:c r="E15" s="117" t="n">
        <x:f>C15/COUNTA('레시피 목록'!$C$5:$C$55)</x:f>
        <x:v>0.09803921568627451</x:v>
      </x:c>
      <x:c r="F15" s="118" t="str">
        <x:v>삶은 병아리콩, 병아리콩 가득, 병아리콩 팬케이크, 아보카도 병아리콩 샐러드, 병아리콩 밥</x:v>
      </x:c>
    </x:row>
    <x:row r="16" ht="32" customHeight="1">
      <x:c r="A16" s="12" t="n">
        <x:v>6</x:v>
      </x:c>
      <x:c r="B16" s="11" t="str">
        <x:v>꿀</x:v>
      </x:c>
      <x:c r="C16" s="13" t="n">
        <x:v>5</x:v>
      </x:c>
      <x:c r="D16" s="13" t="n">
        <x:v>5</x:v>
      </x:c>
      <x:c r="E16" s="117" t="n">
        <x:f>C16/COUNTA('레시피 목록'!$C$5:$C$55)</x:f>
        <x:v>0.09803921568627451</x:v>
      </x:c>
      <x:c r="F16" s="118" t="str">
        <x:v>계피차, 생강차, 사과 생강차, 시나몬 사과조림, 복숭아 요거트</x:v>
      </x:c>
    </x:row>
    <x:row r="17" ht="32" customHeight="1">
      <x:c r="A17" s="12" t="n">
        <x:v>7</x:v>
      </x:c>
      <x:c r="B17" s="11" t="str">
        <x:v>나뭇잎</x:v>
      </x:c>
      <x:c r="C17" s="13" t="n">
        <x:v>5</x:v>
      </x:c>
      <x:c r="D17" s="13" t="n">
        <x:v>5</x:v>
      </x:c>
      <x:c r="E17" s="117" t="n">
        <x:f>C17/COUNTA('레시피 목록'!$C$5:$C$55)</x:f>
        <x:v>0.09803921568627451</x:v>
      </x:c>
      <x:c r="F17" s="118" t="str">
        <x:v>고기쌈, 상큼 나뭇잎 샐러드, 벌레먹은 나뭇잎, 아보카도 병아리콩 샐러드, 씨앗 오이 샐러드</x:v>
      </x:c>
    </x:row>
    <x:row r="18" ht="32" customHeight="1">
      <x:c r="A18" s="12" t="n">
        <x:v>8</x:v>
      </x:c>
      <x:c r="B18" s="11" t="str">
        <x:v>양파</x:v>
      </x:c>
      <x:c r="C18" s="13" t="n">
        <x:v>5</x:v>
      </x:c>
      <x:c r="D18" s="13" t="n">
        <x:v>5</x:v>
      </x:c>
      <x:c r="E18" s="117" t="n">
        <x:f>C18/COUNTA('레시피 목록'!$C$5:$C$55)</x:f>
        <x:v>0.09803921568627451</x:v>
      </x:c>
      <x:c r="F18" s="118" t="str">
        <x:v>맑은 양파 수프, 새콤 양파절임, 불고기, 가지 소고기 덮밥, 연어덮밥</x:v>
      </x:c>
    </x:row>
    <x:row r="19" ht="32" customHeight="1">
      <x:c r="A19" s="12" t="n">
        <x:v>9</x:v>
      </x:c>
      <x:c r="B19" s="11" t="str">
        <x:v>간장</x:v>
      </x:c>
      <x:c r="C19" s="13" t="n">
        <x:v>4</x:v>
      </x:c>
      <x:c r="D19" s="13" t="n">
        <x:v>4</x:v>
      </x:c>
      <x:c r="E19" s="117" t="n">
        <x:f>C19/COUNTA('레시피 목록'!$C$5:$C$55)</x:f>
        <x:v>0.0784313725490196</x:v>
      </x:c>
      <x:c r="F19" s="118" t="str">
        <x:v>불고기, 가지 소고기 덮밥, 치즈 간장계란밥, 연어덮밥</x:v>
      </x:c>
    </x:row>
    <x:row r="20" ht="32" customHeight="1">
      <x:c r="A20" s="12" t="n">
        <x:v>10</x:v>
      </x:c>
      <x:c r="B20" s="11" t="str">
        <x:v>계란</x:v>
      </x:c>
      <x:c r="C20" s="13" t="n">
        <x:v>4</x:v>
      </x:c>
      <x:c r="D20" s="13" t="n">
        <x:v>4</x:v>
      </x:c>
      <x:c r="E20" s="117" t="n">
        <x:f>C20/COUNTA('레시피 목록'!$C$5:$C$55)</x:f>
        <x:v>0.0784313725490196</x:v>
      </x:c>
      <x:c r="F20" s="118" t="str">
        <x:v>계란볶음밥, 마늘 육회, 치즈 간장계란밥, 치즈 오믈렛</x:v>
      </x:c>
    </x:row>
    <x:row r="21" ht="32" customHeight="1">
      <x:c r="A21" s="12" t="n">
        <x:v>11</x:v>
      </x:c>
      <x:c r="B21" s="11" t="str">
        <x:v>김치</x:v>
      </x:c>
      <x:c r="C21" s="13" t="n">
        <x:v>4</x:v>
      </x:c>
      <x:c r="D21" s="13" t="n">
        <x:v>4</x:v>
      </x:c>
      <x:c r="E21" s="117" t="n">
        <x:f>C21/COUNTA('레시피 목록'!$C$5:$C$55)</x:f>
        <x:v>0.0784313725490196</x:v>
      </x:c>
      <x:c r="F21" s="118" t="str">
        <x:v>김치전, 파김치, 김치볶음밥, 마늘 김치볶음</x:v>
      </x:c>
    </x:row>
    <x:row r="22" ht="32" customHeight="1">
      <x:c r="A22" s="12" t="n">
        <x:v>12</x:v>
      </x:c>
      <x:c r="B22" s="11" t="str">
        <x:v>벌레</x:v>
      </x:c>
      <x:c r="C22" s="13" t="n">
        <x:v>4</x:v>
      </x:c>
      <x:c r="D22" s="13" t="n">
        <x:v>4</x:v>
      </x:c>
      <x:c r="E22" s="117" t="n">
        <x:f>C22/COUNTA('레시피 목록'!$C$5:$C$55)</x:f>
        <x:v>0.0784313725490196</x:v>
      </x:c>
      <x:c r="F22" s="118" t="str">
        <x:v>벌레 파이, 고단백 식품, 벌레먹은 나뭇잎, 바삭 벌레구이</x:v>
      </x:c>
    </x:row>
    <x:row r="23" ht="32" customHeight="1">
      <x:c r="A23" s="12" t="n">
        <x:v>13</x:v>
      </x:c>
      <x:c r="B23" s="11" t="str">
        <x:v>소금</x:v>
      </x:c>
      <x:c r="C23" s="13" t="n">
        <x:v>4</x:v>
      </x:c>
      <x:c r="D23" s="13" t="n">
        <x:v>4</x:v>
      </x:c>
      <x:c r="E23" s="117" t="n">
        <x:f>C23/COUNTA('레시피 목록'!$C$5:$C$55)</x:f>
        <x:v>0.0784313725490196</x:v>
      </x:c>
      <x:c r="F23" s="118" t="str">
        <x:v>바삭 벌레구이, 콘스프, 대구구이, 연어구이</x:v>
      </x:c>
    </x:row>
    <x:row r="24" ht="32" customHeight="1">
      <x:c r="A24" s="12" t="n">
        <x:v>14</x:v>
      </x:c>
      <x:c r="B24" s="11" t="str">
        <x:v>식용유</x:v>
      </x:c>
      <x:c r="C24" s="13" t="n">
        <x:v>4</x:v>
      </x:c>
      <x:c r="D24" s="13" t="n">
        <x:v>4</x:v>
      </x:c>
      <x:c r="E24" s="117" t="n">
        <x:f>C24/COUNTA('레시피 목록'!$C$5:$C$55)</x:f>
        <x:v>0.0784313725490196</x:v>
      </x:c>
      <x:c r="F24" s="118" t="str">
        <x:v>계란볶음밥, 김치볶음밥, 마늘 김치볶음, 치즈 오믈렛</x:v>
      </x:c>
    </x:row>
    <x:row r="25" ht="32" customHeight="1">
      <x:c r="A25" s="12" t="n">
        <x:v>15</x:v>
      </x:c>
      <x:c r="B25" s="11" t="str">
        <x:v>사과</x:v>
      </x:c>
      <x:c r="C25" s="13" t="n">
        <x:v>3</x:v>
      </x:c>
      <x:c r="D25" s="13" t="n">
        <x:v>3</x:v>
      </x:c>
      <x:c r="E25" s="117" t="n">
        <x:f>C25/COUNTA('레시피 목록'!$C$5:$C$55)</x:f>
        <x:v>0.058823529411764705</x:v>
      </x:c>
      <x:c r="F25" s="118" t="str">
        <x:v>사과 생강차, 시나몬 사과조림, 과일 가족 모임</x:v>
      </x:c>
    </x:row>
    <x:row r="26" ht="32" customHeight="1">
      <x:c r="A26" s="12" t="n">
        <x:v>16</x:v>
      </x:c>
      <x:c r="B26" s="11" t="str">
        <x:v>생강</x:v>
      </x:c>
      <x:c r="C26" s="13" t="n">
        <x:v>3</x:v>
      </x:c>
      <x:c r="D26" s="13" t="n">
        <x:v>3</x:v>
      </x:c>
      <x:c r="E26" s="117" t="n">
        <x:f>C26/COUNTA('레시피 목록'!$C$5:$C$55)</x:f>
        <x:v>0.058823529411764705</x:v>
      </x:c>
      <x:c r="F26" s="118" t="str">
        <x:v>생강차, 사과 생강차, 진저브레드</x:v>
      </x:c>
    </x:row>
    <x:row r="27" ht="32" customHeight="1">
      <x:c r="A27" s="12" t="n">
        <x:v>17</x:v>
      </x:c>
      <x:c r="B27" s="11" t="str">
        <x:v>생크림</x:v>
      </x:c>
      <x:c r="C27" s="13" t="n">
        <x:v>3</x:v>
      </x:c>
      <x:c r="D27" s="13" t="n">
        <x:v>3</x:v>
      </x:c>
      <x:c r="E27" s="117" t="n">
        <x:f>C27/COUNTA('레시피 목록'!$C$5:$C$55)</x:f>
        <x:v>0.058823529411764705</x:v>
      </x:c>
      <x:c r="F27" s="118" t="str">
        <x:v>콘스프, 트러플 크림 리조또, 딸기 생크림 케이크</x:v>
      </x:c>
    </x:row>
    <x:row r="28" ht="32" customHeight="1">
      <x:c r="A28" s="12" t="n">
        <x:v>18</x:v>
      </x:c>
      <x:c r="B28" s="11" t="str">
        <x:v>시나몬</x:v>
      </x:c>
      <x:c r="C28" s="13" t="n">
        <x:v>3</x:v>
      </x:c>
      <x:c r="D28" s="13" t="n">
        <x:v>3</x:v>
      </x:c>
      <x:c r="E28" s="117" t="n">
        <x:f>C28/COUNTA('레시피 목록'!$C$5:$C$55)</x:f>
        <x:v>0.058823529411764705</x:v>
      </x:c>
      <x:c r="F28" s="118" t="str">
        <x:v>계피차, 시나몬 사과조림, 시나몬 롤</x:v>
      </x:c>
    </x:row>
    <x:row r="29" ht="32" customHeight="1">
      <x:c r="A29" s="12" t="n">
        <x:v>19</x:v>
      </x:c>
      <x:c r="B29" s="11" t="str">
        <x:v>연어</x:v>
      </x:c>
      <x:c r="C29" s="13" t="n">
        <x:v>3</x:v>
      </x:c>
      <x:c r="D29" s="13" t="n">
        <x:v>3</x:v>
      </x:c>
      <x:c r="E29" s="117" t="n">
        <x:f>C29/COUNTA('레시피 목록'!$C$5:$C$55)</x:f>
        <x:v>0.058823529411764705</x:v>
      </x:c>
      <x:c r="F29" s="118" t="str">
        <x:v>연어덮밥, 연어구이, 연어초밥</x:v>
      </x:c>
    </x:row>
    <x:row r="30" ht="32" customHeight="1">
      <x:c r="A30" s="12" t="n">
        <x:v>20</x:v>
      </x:c>
      <x:c r="B30" s="11" t="str">
        <x:v>파</x:v>
      </x:c>
      <x:c r="C30" s="13" t="n">
        <x:v>3</x:v>
      </x:c>
      <x:c r="D30" s="13" t="n">
        <x:v>3</x:v>
      </x:c>
      <x:c r="E30" s="117" t="n">
        <x:f>C30/COUNTA('레시피 목록'!$C$5:$C$55)</x:f>
        <x:v>0.058823529411764705</x:v>
      </x:c>
      <x:c r="F30" s="118" t="str">
        <x:v>파김치, 양배추 딤섬, 마늘 육회</x:v>
      </x:c>
    </x:row>
    <x:row r="31" ht="32" customHeight="1">
      <x:c r="A31" s="12" t="n">
        <x:v>21</x:v>
      </x:c>
      <x:c r="B31" s="11" t="str">
        <x:v>옥수수</x:v>
      </x:c>
      <x:c r="C31" s="13" t="n">
        <x:v>2</x:v>
      </x:c>
      <x:c r="D31" s="13" t="n">
        <x:v>3</x:v>
      </x:c>
      <x:c r="E31" s="117" t="n">
        <x:f>C31/COUNTA('레시피 목록'!$C$5:$C$55)</x:f>
        <x:v>0.0392156862745098</x:v>
      </x:c>
      <x:c r="F31" s="118" t="str">
        <x:v>구운 옥수수, 콘스프</x:v>
      </x:c>
    </x:row>
    <x:row r="32" ht="32" customHeight="1">
      <x:c r="A32" s="12" t="n">
        <x:v>22</x:v>
      </x:c>
      <x:c r="B32" s="11" t="str">
        <x:v>도토리</x:v>
      </x:c>
      <x:c r="C32" s="13" t="n">
        <x:v>2</x:v>
      </x:c>
      <x:c r="D32" s="13" t="n">
        <x:v>2</x:v>
      </x:c>
      <x:c r="E32" s="117" t="n">
        <x:f>C32/COUNTA('레시피 목록'!$C$5:$C$55)</x:f>
        <x:v>0.0392156862745098</x:v>
      </x:c>
      <x:c r="F32" s="118" t="str">
        <x:v>도토리묵, 상큼 나뭇잎 샐러드</x:v>
      </x:c>
    </x:row>
    <x:row r="33" ht="32" customHeight="1">
      <x:c r="A33" s="12" t="n">
        <x:v>23</x:v>
      </x:c>
      <x:c r="B33" s="11" t="str">
        <x:v>딸기</x:v>
      </x:c>
      <x:c r="C33" s="13" t="n">
        <x:v>2</x:v>
      </x:c>
      <x:c r="D33" s="13" t="n">
        <x:v>2</x:v>
      </x:c>
      <x:c r="E33" s="117" t="n">
        <x:f>C33/COUNTA('레시피 목록'!$C$5:$C$55)</x:f>
        <x:v>0.0392156862745098</x:v>
      </x:c>
      <x:c r="F33" s="118" t="str">
        <x:v>딸기 생크림 케이크, 과일 가족 모임</x:v>
      </x:c>
    </x:row>
    <x:row r="34" ht="32" customHeight="1">
      <x:c r="A34" s="12" t="n">
        <x:v>24</x:v>
      </x:c>
      <x:c r="B34" s="11" t="str">
        <x:v>마늘</x:v>
      </x:c>
      <x:c r="C34" s="13" t="n">
        <x:v>2</x:v>
      </x:c>
      <x:c r="D34" s="13" t="n">
        <x:v>2</x:v>
      </x:c>
      <x:c r="E34" s="117" t="n">
        <x:f>C34/COUNTA('레시피 목록'!$C$5:$C$55)</x:f>
        <x:v>0.0392156862745098</x:v>
      </x:c>
      <x:c r="F34" s="118" t="str">
        <x:v>마늘 김치볶음, 마늘 육회</x:v>
      </x:c>
    </x:row>
    <x:row r="35" ht="32" customHeight="1">
      <x:c r="A35" s="12" t="n">
        <x:v>25</x:v>
      </x:c>
      <x:c r="B35" s="11" t="str">
        <x:v>복숭아</x:v>
      </x:c>
      <x:c r="C35" s="13" t="n">
        <x:v>2</x:v>
      </x:c>
      <x:c r="D35" s="13" t="n">
        <x:v>2</x:v>
      </x:c>
      <x:c r="E35" s="117" t="n">
        <x:f>C35/COUNTA('레시피 목록'!$C$5:$C$55)</x:f>
        <x:v>0.0392156862745098</x:v>
      </x:c>
      <x:c r="F35" s="118" t="str">
        <x:v>복숭아 요거트, 과일 가족 모임</x:v>
      </x:c>
    </x:row>
    <x:row r="36" ht="32" customHeight="1">
      <x:c r="A36" s="12" t="n">
        <x:v>26</x:v>
      </x:c>
      <x:c r="B36" s="11" t="str">
        <x:v>식초</x:v>
      </x:c>
      <x:c r="C36" s="13" t="n">
        <x:v>2</x:v>
      </x:c>
      <x:c r="D36" s="13" t="n">
        <x:v>2</x:v>
      </x:c>
      <x:c r="E36" s="117" t="n">
        <x:f>C36/COUNTA('레시피 목록'!$C$5:$C$55)</x:f>
        <x:v>0.0392156862745098</x:v>
      </x:c>
      <x:c r="F36" s="118" t="str">
        <x:v>새콤 양파절임, 연어초밥</x:v>
      </x:c>
    </x:row>
    <x:row r="37" ht="32" customHeight="1">
      <x:c r="A37" s="12" t="n">
        <x:v>27</x:v>
      </x:c>
      <x:c r="B37" s="11" t="str">
        <x:v>씨앗</x:v>
      </x:c>
      <x:c r="C37" s="13" t="n">
        <x:v>2</x:v>
      </x:c>
      <x:c r="D37" s="13" t="n">
        <x:v>2</x:v>
      </x:c>
      <x:c r="E37" s="117" t="n">
        <x:f>C37/COUNTA('레시피 목록'!$C$5:$C$55)</x:f>
        <x:v>0.0392156862745098</x:v>
      </x:c>
      <x:c r="F37" s="118" t="str">
        <x:v>해바라기씨 파이, 씨앗 오이 샐러드</x:v>
      </x:c>
    </x:row>
    <x:row r="38" ht="32" customHeight="1">
      <x:c r="A38" s="12" t="n">
        <x:v>28</x:v>
      </x:c>
      <x:c r="B38" s="11" t="str">
        <x:v>열매</x:v>
      </x:c>
      <x:c r="C38" s="13" t="n">
        <x:v>2</x:v>
      </x:c>
      <x:c r="D38" s="13" t="n">
        <x:v>2</x:v>
      </x:c>
      <x:c r="E38" s="117" t="n">
        <x:f>C38/COUNTA('레시피 목록'!$C$5:$C$55)</x:f>
        <x:v>0.0392156862745098</x:v>
      </x:c>
      <x:c r="F38" s="118" t="str">
        <x:v>상큼 나뭇잎 샐러드, 열매꼬치구이</x:v>
      </x:c>
    </x:row>
    <x:row r="39" ht="32" customHeight="1">
      <x:c r="A39" s="12" t="n">
        <x:v>29</x:v>
      </x:c>
      <x:c r="B39" s="11" t="str">
        <x:v>체리</x:v>
      </x:c>
      <x:c r="C39" s="13" t="n">
        <x:v>2</x:v>
      </x:c>
      <x:c r="D39" s="13" t="n">
        <x:v>2</x:v>
      </x:c>
      <x:c r="E39" s="117" t="n">
        <x:f>C39/COUNTA('레시피 목록'!$C$5:$C$55)</x:f>
        <x:v>0.0392156862745098</x:v>
      </x:c>
      <x:c r="F39" s="118" t="str">
        <x:v>체리 사탕, 과일 가족 모임</x:v>
      </x:c>
    </x:row>
    <x:row r="40" ht="32" customHeight="1">
      <x:c r="A40" s="12" t="n">
        <x:v>30</x:v>
      </x:c>
      <x:c r="B40" s="11" t="str">
        <x:v>치즈</x:v>
      </x:c>
      <x:c r="C40" s="13" t="n">
        <x:v>2</x:v>
      </x:c>
      <x:c r="D40" s="13" t="n">
        <x:v>2</x:v>
      </x:c>
      <x:c r="E40" s="117" t="n">
        <x:f>C40/COUNTA('레시피 목록'!$C$5:$C$55)</x:f>
        <x:v>0.0392156862745098</x:v>
      </x:c>
      <x:c r="F40" s="118" t="str">
        <x:v>치즈 간장계란밥, 치즈 오믈렛</x:v>
      </x:c>
    </x:row>
    <x:row r="41" ht="32" customHeight="1">
      <x:c r="A41" s="12" t="n">
        <x:v>31</x:v>
      </x:c>
      <x:c r="B41" s="11" t="str">
        <x:v>가지</x:v>
      </x:c>
      <x:c r="C41" s="13" t="n">
        <x:v>1</x:v>
      </x:c>
      <x:c r="D41" s="13" t="n">
        <x:v>1</x:v>
      </x:c>
      <x:c r="E41" s="117" t="n">
        <x:f>C41/COUNTA('레시피 목록'!$C$5:$C$55)</x:f>
        <x:v>0.0196078431372549</x:v>
      </x:c>
      <x:c r="F41" s="118" t="str">
        <x:v>가지 소고기 덮밥</x:v>
      </x:c>
    </x:row>
    <x:row r="42" ht="32" customHeight="1">
      <x:c r="A42" s="12" t="n">
        <x:v>32</x:v>
      </x:c>
      <x:c r="B42" s="11" t="str">
        <x:v>대구</x:v>
      </x:c>
      <x:c r="C42" s="13" t="n">
        <x:v>1</x:v>
      </x:c>
      <x:c r="D42" s="13" t="n">
        <x:v>1</x:v>
      </x:c>
      <x:c r="E42" s="117" t="n">
        <x:f>C42/COUNTA('레시피 목록'!$C$5:$C$55)</x:f>
        <x:v>0.0196078431372549</x:v>
      </x:c>
      <x:c r="F42" s="118" t="str">
        <x:v>대구구이</x:v>
      </x:c>
    </x:row>
    <x:row r="43" ht="32" customHeight="1">
      <x:c r="A43" s="12" t="n">
        <x:v>33</x:v>
      </x:c>
      <x:c r="B43" s="11" t="str">
        <x:v>된장</x:v>
      </x:c>
      <x:c r="C43" s="13" t="n">
        <x:v>1</x:v>
      </x:c>
      <x:c r="D43" s="13" t="n">
        <x:v>1</x:v>
      </x:c>
      <x:c r="E43" s="117" t="n">
        <x:f>C43/COUNTA('레시피 목록'!$C$5:$C$55)</x:f>
        <x:v>0.0196078431372549</x:v>
      </x:c>
      <x:c r="F43" s="118" t="str">
        <x:v>된장국</x:v>
      </x:c>
    </x:row>
    <x:row r="44" ht="32" customHeight="1">
      <x:c r="A44" s="12" t="n">
        <x:v>34</x:v>
      </x:c>
      <x:c r="B44" s="11" t="str">
        <x:v>새싹</x:v>
      </x:c>
      <x:c r="C44" s="13" t="n">
        <x:v>1</x:v>
      </x:c>
      <x:c r="D44" s="13" t="n">
        <x:v>1</x:v>
      </x:c>
      <x:c r="E44" s="117" t="n">
        <x:f>C44/COUNTA('레시피 목록'!$C$5:$C$55)</x:f>
        <x:v>0.0196078431372549</x:v>
      </x:c>
      <x:c r="F44" s="118" t="str">
        <x:v>새싹전</x:v>
      </x:c>
    </x:row>
    <x:row r="45" ht="32" customHeight="1">
      <x:c r="A45" s="12" t="n">
        <x:v>35</x:v>
      </x:c>
      <x:c r="B45" s="11" t="str">
        <x:v>아보카도</x:v>
      </x:c>
      <x:c r="C45" s="13" t="n">
        <x:v>1</x:v>
      </x:c>
      <x:c r="D45" s="13" t="n">
        <x:v>1</x:v>
      </x:c>
      <x:c r="E45" s="117" t="n">
        <x:f>C45/COUNTA('레시피 목록'!$C$5:$C$55)</x:f>
        <x:v>0.0196078431372549</x:v>
      </x:c>
      <x:c r="F45" s="118" t="str">
        <x:v>아보카도 병아리콩 샐러드</x:v>
      </x:c>
    </x:row>
    <x:row r="46" ht="32" customHeight="1">
      <x:c r="A46" s="12" t="n">
        <x:v>36</x:v>
      </x:c>
      <x:c r="B46" s="11" t="str">
        <x:v>양배추</x:v>
      </x:c>
      <x:c r="C46" s="13" t="n">
        <x:v>1</x:v>
      </x:c>
      <x:c r="D46" s="13" t="n">
        <x:v>1</x:v>
      </x:c>
      <x:c r="E46" s="117" t="n">
        <x:f>C46/COUNTA('레시피 목록'!$C$5:$C$55)</x:f>
        <x:v>0.0196078431372549</x:v>
      </x:c>
      <x:c r="F46" s="118" t="str">
        <x:v>양배추 딤섬</x:v>
      </x:c>
    </x:row>
    <x:row r="47" ht="32" customHeight="1">
      <x:c r="A47" s="12" t="n">
        <x:v>37</x:v>
      </x:c>
      <x:c r="B47" s="11" t="str">
        <x:v>오이</x:v>
      </x:c>
      <x:c r="C47" s="13" t="n">
        <x:v>1</x:v>
      </x:c>
      <x:c r="D47" s="13" t="n">
        <x:v>1</x:v>
      </x:c>
      <x:c r="E47" s="117" t="n">
        <x:f>C47/COUNTA('레시피 목록'!$C$5:$C$55)</x:f>
        <x:v>0.0196078431372549</x:v>
      </x:c>
      <x:c r="F47" s="118" t="str">
        <x:v>씨앗 오이 샐러드</x:v>
      </x:c>
    </x:row>
    <x:row r="48" ht="32" customHeight="1">
      <x:c r="A48" s="12" t="n">
        <x:v>38</x:v>
      </x:c>
      <x:c r="B48" s="11" t="str">
        <x:v>요거트</x:v>
      </x:c>
      <x:c r="C48" s="13" t="n">
        <x:v>1</x:v>
      </x:c>
      <x:c r="D48" s="13" t="n">
        <x:v>1</x:v>
      </x:c>
      <x:c r="E48" s="117" t="n">
        <x:f>C48/COUNTA('레시피 목록'!$C$5:$C$55)</x:f>
        <x:v>0.0196078431372549</x:v>
      </x:c>
      <x:c r="F48" s="118" t="str">
        <x:v>복숭아 요거트</x:v>
      </x:c>
    </x:row>
    <x:row r="49" ht="32" customHeight="1">
      <x:c r="A49" s="12" t="n">
        <x:v>39</x:v>
      </x:c>
      <x:c r="B49" s="11" t="str">
        <x:v>우유</x:v>
      </x:c>
      <x:c r="C49" s="13" t="n">
        <x:v>1</x:v>
      </x:c>
      <x:c r="D49" s="13" t="n">
        <x:v>1</x:v>
      </x:c>
      <x:c r="E49" s="117" t="n">
        <x:f>C49/COUNTA('레시피 목록'!$C$5:$C$55)</x:f>
        <x:v>0.0196078431372549</x:v>
      </x:c>
      <x:c r="F49" s="118" t="str">
        <x:v>치즈 오믈렛</x:v>
      </x:c>
    </x:row>
    <x:row r="50" ht="32" customHeight="1">
      <x:c r="A50" s="12" t="n">
        <x:v>40</x:v>
      </x:c>
      <x:c r="B50" s="11" t="str">
        <x:v>트러플</x:v>
      </x:c>
      <x:c r="C50" s="13" t="n">
        <x:v>1</x:v>
      </x:c>
      <x:c r="D50" s="13" t="n">
        <x:v>1</x:v>
      </x:c>
      <x:c r="E50" s="117" t="n">
        <x:f>C50/COUNTA('레시피 목록'!$C$5:$C$55)</x:f>
        <x:v>0.0196078431372549</x:v>
      </x:c>
      <x:c r="F50" s="118" t="str">
        <x:v>트러플 크림 리조또</x:v>
      </x:c>
    </x:row>
    <x:row r="51" ht="32" customHeight="1">
      <x:c r="A51" s="12" t="n">
        <x:v>41</x:v>
      </x:c>
      <x:c r="B51" s="11" t="str">
        <x:v>후추</x:v>
      </x:c>
      <x:c r="C51" s="13" t="n">
        <x:v>1</x:v>
      </x:c>
      <x:c r="D51" s="13" t="n">
        <x:v>1</x:v>
      </x:c>
      <x:c r="E51" s="117" t="n">
        <x:f>C51/COUNTA('레시피 목록'!$C$5:$C$55)</x:f>
        <x:v>0.0196078431372549</x:v>
      </x:c>
      <x:c r="F51" s="118" t="str">
        <x:v>후추 스테이크</x:v>
      </x:c>
    </x:row>
  </x:sheetData>
  <x:mergeCells>
    <x:mergeCell ref="A1:F1"/>
    <x:mergeCell ref="A2:F2"/>
    <x:mergeCell ref="A4:C4"/>
    <x:mergeCell ref="A5:C6"/>
    <x:mergeCell ref="D4:F4"/>
    <x:mergeCell ref="D5:F6"/>
    <x:mergeCell ref="A8:F8"/>
  </x:mergeCells>
  <x:conditionalFormatting sqref="C11:D51">
    <x:cfRule type="dataBar" priority="1">
      <x:dataBar>
        <x:cfvo type="min"/>
        <x:cfvo type="max"/>
        <x:color rgb="FF8DBB4C"/>
      </x:dataBar>
      <x:extLst>
        <x:ext xmlns:x14="http://schemas.microsoft.com/office/spreadsheetml/2009/9/main" uri="{B025F937-C7B1-47D3-B67F-A62EFF666E3E}">
          <x14:id>{AB909DEE-3FE0-C366-588B-FE4D9BFD8629}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6b7bf3d457cd446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B909DEE-3FE0-C366-588B-FE4D9BFD8629}">
            <x14:dataBar gradient="1">
              <x14:cfvo type="min"/>
              <x14:cfvo type="max"/>
              <x14:fillColor rgb="FF8DBB4C"/>
            </x14:dataBar>
          </x14:cfRule>
          <xm:sqref>C11:D51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2" hidden="0" customWidth="1"/>
    <x:col min="5" max="5" width="17" hidden="0" customWidth="1"/>
    <x:col min="6" max="6" width="13" hidden="0" customWidth="1"/>
    <x:col min="7" max="7" width="14" hidden="0" customWidth="1"/>
    <x:col min="8" max="8" width="12" hidden="0" customWidth="1"/>
    <x:col min="9" max="9" width="19" hidden="0" customWidth="1"/>
    <x:col min="10" max="10" width="64" hidden="0" customWidth="1"/>
    <x:col min="11" max="11" width="64" hidden="0" customWidth="1"/>
    <x:col min="12" max="12" width="25" hidden="0" customWidth="1"/>
  </x:cols>
  <x:sheetData>
    <x:row r="1" ht="34" customHeight="1">
      <x:c r="A1" s="122" t="str">
        <x:v>병아리 드랍 · 레시피 수급 분석</x:v>
      </x:c>
      <x:c r="B1" s="122"/>
      <x:c r="C1" s="122"/>
      <x:c r="D1" s="122"/>
      <x:c r="E1" s="122"/>
      <x:c r="F1" s="122"/>
      <x:c r="G1" s="122"/>
      <x:c r="H1" s="122"/>
      <x:c r="I1" s="122"/>
      <x:c r="J1" s="122"/>
      <x:c r="K1" s="122"/>
      <x:c r="L1" s="122"/>
    </x:row>
    <x:row r="2" ht="22" customHeight="1">
      <x:c r="A2" s="126" t="str">
        <x:v>물 제외 · 병아리 78마리 · 레시피 51개 기준</x:v>
      </x:c>
      <x:c r="B2" s="126"/>
      <x:c r="C2" s="126"/>
      <x:c r="D2" s="126"/>
      <x:c r="E2" s="126"/>
      <x:c r="F2" s="126"/>
      <x:c r="G2" s="126"/>
      <x:c r="H2" s="126"/>
      <x:c r="I2" s="126"/>
      <x:c r="J2" s="126"/>
      <x:c r="K2" s="126"/>
      <x:c r="L2" s="126"/>
    </x:row>
    <x:row r="4">
      <x:c r="A4" s="129" t="str">
        <x:v>레시피 미사용</x:v>
      </x:c>
      <x:c r="B4" s="129"/>
      <x:c r="C4" s="129"/>
      <x:c r="D4" s="129"/>
      <x:c r="E4" s="158" t="str">
        <x:v>획득 경로 없음</x:v>
      </x:c>
      <x:c r="F4" s="158"/>
      <x:c r="G4" s="158"/>
      <x:c r="H4" s="158"/>
      <x:c r="I4" s="187" t="str">
        <x:v>수급 부담 상위</x:v>
      </x:c>
      <x:c r="J4" s="187"/>
      <x:c r="K4" s="187"/>
      <x:c r="L4" s="187"/>
    </x:row>
    <x:row r="5" ht="27" customHeight="1">
      <x:c r="A5" s="150" t="str">
        <x:v>58종 · 버섯, 감자, 당근, 빵, 알로에 외</x:v>
      </x:c>
      <x:c r="B5" s="151"/>
      <x:c r="C5" s="151"/>
      <x:c r="D5" s="152"/>
      <x:c r="E5" s="179" t="str">
        <x:v>0종</x:v>
      </x:c>
      <x:c r="F5" s="180"/>
      <x:c r="G5" s="180"/>
      <x:c r="H5" s="181"/>
      <x:c r="I5" s="208" t="str">
        <x:v>고기, 시나몬, 연어 · 지수 10.0</x:v>
      </x:c>
      <x:c r="J5" s="209"/>
      <x:c r="K5" s="209"/>
      <x:c r="L5" s="210"/>
    </x:row>
    <x:row r="6" ht="27" customHeight="1">
      <x:c r="A6" s="153"/>
      <x:c r="B6" s="154"/>
      <x:c r="C6" s="154"/>
      <x:c r="D6" s="155"/>
      <x:c r="E6" s="182"/>
      <x:c r="F6" s="183"/>
      <x:c r="G6" s="183"/>
      <x:c r="H6" s="184"/>
      <x:c r="I6" s="211"/>
      <x:c r="J6" s="212"/>
      <x:c r="K6" s="212"/>
      <x:c r="L6" s="213"/>
    </x:row>
    <x:row r="8">
      <x:c r="A8" s="217" t="str">
        <x:v>환산 공급력 = 단일 드랍 1.0 + 기본 70% 0.7 + 특별 30% 0.3 · 부담 지수 = 필요 슬롯 ÷ 환산 공급력 · 5 이상 매우 부족 / 3 이상 부족</x:v>
      </x:c>
      <x:c r="B8" s="217"/>
      <x:c r="C8" s="217"/>
      <x:c r="D8" s="217"/>
      <x:c r="E8" s="217"/>
      <x:c r="F8" s="217"/>
      <x:c r="G8" s="217"/>
      <x:c r="H8" s="217"/>
      <x:c r="I8" s="217"/>
      <x:c r="J8" s="217"/>
      <x:c r="K8" s="217"/>
      <x:c r="L8" s="217"/>
    </x:row>
    <x:row r="10">
      <x:c r="A10" t="str">
        <x:v>판정</x:v>
      </x:c>
      <x:c r="B10" t="str">
        <x:v>재료</x:v>
      </x:c>
      <x:c r="C10" t="str">
        <x:v>사용 레시피 수</x:v>
      </x:c>
      <x:c r="D10" t="str">
        <x:v>필요 슬롯</x:v>
      </x:c>
      <x:c r="E10" t="str">
        <x:v>기본·단일 병아리</x:v>
      </x:c>
      <x:c r="F10" t="str">
        <x:v>특별 병아리</x:v>
      </x:c>
      <x:c r="G10" t="str">
        <x:v>환산 공급력</x:v>
      </x:c>
      <x:c r="H10" t="str">
        <x:v>부담 지수</x:v>
      </x:c>
      <x:c r="I10" t="str">
        <x:v>첫 등장 테마</x:v>
      </x:c>
      <x:c r="J10" t="str">
        <x:v>드랍 병아리</x:v>
      </x:c>
      <x:c r="K10" t="str">
        <x:v>사용 레시피</x:v>
      </x:c>
      <x:c r="L10" t="str">
        <x:v>검토 방향</x:v>
      </x:c>
    </x:row>
    <x:row r="11" ht="36" customHeight="1">
      <x:c r="A11" s="11" t="str">
        <x:v>매우 부족</x:v>
      </x:c>
      <x:c r="B11" s="11" t="str">
        <x:v>고기</x:v>
      </x:c>
      <x:c r="C11" s="13" t="n">
        <x:v>10</x:v>
      </x:c>
      <x:c r="D11" s="13" t="n">
        <x:v>10</x:v>
      </x:c>
      <x:c r="E11" s="13" t="n">
        <x:v>1</x:v>
      </x:c>
      <x:c r="F11" s="13" t="n">
        <x:v>0</x:v>
      </x:c>
      <x:c r="G11" s="219" t="n">
        <x:v>1</x:v>
      </x:c>
      <x:c r="H11" s="219" t="n">
        <x:f>IF(OR(D11=0,G11=0),"",D11/G11)</x:f>
        <x:v>10</x:v>
      </x:c>
      <x:c r="I11" s="11" t="str">
        <x:v>돌 테마</x:v>
      </x:c>
      <x:c r="J11" s="118" t="str">
        <x:v>돌 테마·공룡 병아리(단일 100%)</x:v>
      </x:c>
      <x:c r="K11" s="118" t="str">
        <x:v>삶은 고기, 육전, 고기쌈, 열매꼬치구이, 고단백 식품, 후추 스테이크, 불고기, 양배추 딤섬, 가지 소고기 덮밥, 마늘 육회</x:v>
      </x:c>
      <x:c r="L11" s="11" t="str">
        <x:v>기본 70% 드랍 경로 추가</x:v>
      </x:c>
    </x:row>
    <x:row r="12" ht="36" customHeight="1">
      <x:c r="A12" s="11" t="str">
        <x:v>매우 부족</x:v>
      </x:c>
      <x:c r="B12" s="11" t="str">
        <x:v>시나몬</x:v>
      </x:c>
      <x:c r="C12" s="13" t="n">
        <x:v>3</x:v>
      </x:c>
      <x:c r="D12" s="13" t="n">
        <x:v>3</x:v>
      </x:c>
      <x:c r="E12" s="13" t="n">
        <x:v>0</x:v>
      </x:c>
      <x:c r="F12" s="13" t="n">
        <x:v>1</x:v>
      </x:c>
      <x:c r="G12" s="219" t="n">
        <x:v>0.3</x:v>
      </x:c>
      <x:c r="H12" s="219" t="n">
        <x:f>IF(OR(D12=0,G12=0),"",D12/G12)</x:f>
        <x:v>10</x:v>
      </x:c>
      <x:c r="I12" s="11" t="str">
        <x:v>나무 테마</x:v>
      </x:c>
      <x:c r="J12" s="118" t="str">
        <x:v>나무 테마·나무둥치 병아리(특별 30%)</x:v>
      </x:c>
      <x:c r="K12" s="118" t="str">
        <x:v>계피차, 시나몬 사과조림, 시나몬 롤</x:v>
      </x:c>
      <x:c r="L12" s="11" t="str">
        <x:v>기본 70% 드랍 경로 추가</x:v>
      </x:c>
    </x:row>
    <x:row r="13" ht="36" customHeight="1">
      <x:c r="A13" s="11" t="str">
        <x:v>매우 부족</x:v>
      </x:c>
      <x:c r="B13" s="11" t="str">
        <x:v>연어</x:v>
      </x:c>
      <x:c r="C13" s="13" t="n">
        <x:v>3</x:v>
      </x:c>
      <x:c r="D13" s="13" t="n">
        <x:v>3</x:v>
      </x:c>
      <x:c r="E13" s="13" t="n">
        <x:v>0</x:v>
      </x:c>
      <x:c r="F13" s="13" t="n">
        <x:v>1</x:v>
      </x:c>
      <x:c r="G13" s="219" t="n">
        <x:v>0.3</x:v>
      </x:c>
      <x:c r="H13" s="219" t="n">
        <x:f>IF(OR(D13=0,G13=0),"",D13/G13)</x:f>
        <x:v>10</x:v>
      </x:c>
      <x:c r="I13" s="11" t="str">
        <x:v>블루 땡땡이 테마</x:v>
      </x:c>
      <x:c r="J13" s="118" t="str">
        <x:v>블루 땡땡이 테마·고양이 병아리(특별 30%)</x:v>
      </x:c>
      <x:c r="K13" s="118" t="str">
        <x:v>연어덮밥, 연어구이, 연어초밥</x:v>
      </x:c>
      <x:c r="L13" s="11" t="str">
        <x:v>기본 70% 드랍 경로 추가</x:v>
      </x:c>
    </x:row>
    <x:row r="14" ht="36" customHeight="1">
      <x:c r="A14" s="11" t="str">
        <x:v>매우 부족</x:v>
      </x:c>
      <x:c r="B14" s="11" t="str">
        <x:v>병아리콩</x:v>
      </x:c>
      <x:c r="C14" s="13" t="n">
        <x:v>5</x:v>
      </x:c>
      <x:c r="D14" s="13" t="n">
        <x:v>7</x:v>
      </x:c>
      <x:c r="E14" s="13" t="n">
        <x:v>1</x:v>
      </x:c>
      <x:c r="F14" s="13" t="n">
        <x:v>0</x:v>
      </x:c>
      <x:c r="G14" s="219" t="n">
        <x:v>1</x:v>
      </x:c>
      <x:c r="H14" s="219" t="n">
        <x:f>IF(OR(D14=0,G14=0),"",D14/G14)</x:f>
        <x:v>7</x:v>
      </x:c>
      <x:c r="I14" s="11" t="str">
        <x:v>돌 테마</x:v>
      </x:c>
      <x:c r="J14" s="118" t="str">
        <x:v>돌 테마·기본 병아리(단일 100%)</x:v>
      </x:c>
      <x:c r="K14" s="118" t="str">
        <x:v>삶은 병아리콩, 병아리콩 가득, 병아리콩 팬케이크, 아보카도 병아리콩 샐러드, 병아리콩 밥</x:v>
      </x:c>
      <x:c r="L14" s="11" t="str">
        <x:v>기본 70% 드랍 경로 추가</x:v>
      </x:c>
    </x:row>
    <x:row r="15" ht="36" customHeight="1">
      <x:c r="A15" s="11" t="str">
        <x:v>매우 부족</x:v>
      </x:c>
      <x:c r="B15" s="11" t="str">
        <x:v>복숭아</x:v>
      </x:c>
      <x:c r="C15" s="13" t="n">
        <x:v>2</x:v>
      </x:c>
      <x:c r="D15" s="13" t="n">
        <x:v>2</x:v>
      </x:c>
      <x:c r="E15" s="13" t="n">
        <x:v>0</x:v>
      </x:c>
      <x:c r="F15" s="13" t="n">
        <x:v>1</x:v>
      </x:c>
      <x:c r="G15" s="219" t="n">
        <x:v>0.3</x:v>
      </x:c>
      <x:c r="H15" s="219" t="n">
        <x:f>IF(OR(D15=0,G15=0),"",D15/G15)</x:f>
        <x:v>6.666666666666667</x:v>
      </x:c>
      <x:c r="I15" s="11" t="str">
        <x:v>그린핑크 테마</x:v>
      </x:c>
      <x:c r="J15" s="118" t="str">
        <x:v>그린핑크 테마·복숭아씨 병아리(특별 30%)</x:v>
      </x:c>
      <x:c r="K15" s="118" t="str">
        <x:v>복숭아 요거트, 과일 가족 모임</x:v>
      </x:c>
      <x:c r="L15" s="11" t="str">
        <x:v>기본 70% 드랍 경로 추가</x:v>
      </x:c>
    </x:row>
    <x:row r="16" ht="36" customHeight="1">
      <x:c r="A16" s="11" t="str">
        <x:v>매우 부족</x:v>
      </x:c>
      <x:c r="B16" s="11" t="str">
        <x:v>식초</x:v>
      </x:c>
      <x:c r="C16" s="13" t="n">
        <x:v>2</x:v>
      </x:c>
      <x:c r="D16" s="13" t="n">
        <x:v>2</x:v>
      </x:c>
      <x:c r="E16" s="13" t="n">
        <x:v>0</x:v>
      </x:c>
      <x:c r="F16" s="13" t="n">
        <x:v>1</x:v>
      </x:c>
      <x:c r="G16" s="219" t="n">
        <x:v>0.3</x:v>
      </x:c>
      <x:c r="H16" s="219" t="n">
        <x:f>IF(OR(D16=0,G16=0),"",D16/G16)</x:f>
        <x:v>6.666666666666667</x:v>
      </x:c>
      <x:c r="I16" s="11" t="str">
        <x:v>그린핑크 테마</x:v>
      </x:c>
      <x:c r="J16" s="118" t="str">
        <x:v>그린핑크 테마·복숭아 천사 병아리(특별 30%)</x:v>
      </x:c>
      <x:c r="K16" s="118" t="str">
        <x:v>새콤 양파절임, 연어초밥</x:v>
      </x:c>
      <x:c r="L16" s="11" t="str">
        <x:v>기본 70% 드랍 경로 추가</x:v>
      </x:c>
    </x:row>
    <x:row r="17" ht="36" customHeight="1">
      <x:c r="A17" s="11" t="str">
        <x:v>매우 부족</x:v>
      </x:c>
      <x:c r="B17" s="11" t="str">
        <x:v>씨앗</x:v>
      </x:c>
      <x:c r="C17" s="13" t="n">
        <x:v>2</x:v>
      </x:c>
      <x:c r="D17" s="13" t="n">
        <x:v>2</x:v>
      </x:c>
      <x:c r="E17" s="13" t="n">
        <x:v>0</x:v>
      </x:c>
      <x:c r="F17" s="13" t="n">
        <x:v>1</x:v>
      </x:c>
      <x:c r="G17" s="219" t="n">
        <x:v>0.3</x:v>
      </x:c>
      <x:c r="H17" s="219" t="n">
        <x:f>IF(OR(D17=0,G17=0),"",D17/G17)</x:f>
        <x:v>6.666666666666667</x:v>
      </x:c>
      <x:c r="I17" s="11" t="str">
        <x:v>벚꽃 테마</x:v>
      </x:c>
      <x:c r="J17" s="118" t="str">
        <x:v>벚꽃 테마·꽃 병아리(특별 30%)</x:v>
      </x:c>
      <x:c r="K17" s="118" t="str">
        <x:v>해바라기씨 파이, 씨앗 오이 샐러드</x:v>
      </x:c>
      <x:c r="L17" s="11" t="str">
        <x:v>기본 70% 드랍 경로 추가</x:v>
      </x:c>
    </x:row>
    <x:row r="18" ht="36" customHeight="1">
      <x:c r="A18" s="11" t="str">
        <x:v>매우 부족</x:v>
      </x:c>
      <x:c r="B18" s="11" t="str">
        <x:v>간장</x:v>
      </x:c>
      <x:c r="C18" s="13" t="n">
        <x:v>4</x:v>
      </x:c>
      <x:c r="D18" s="13" t="n">
        <x:v>4</x:v>
      </x:c>
      <x:c r="E18" s="13" t="n">
        <x:v>1</x:v>
      </x:c>
      <x:c r="F18" s="13" t="n">
        <x:v>0</x:v>
      </x:c>
      <x:c r="G18" s="219" t="n">
        <x:v>0.7</x:v>
      </x:c>
      <x:c r="H18" s="219" t="n">
        <x:f>IF(OR(D18=0,G18=0),"",D18/G18)</x:f>
        <x:v>5.714285714285714</x:v>
      </x:c>
      <x:c r="I18" s="11" t="str">
        <x:v>한식당 테마</x:v>
      </x:c>
      <x:c r="J18" s="118" t="str">
        <x:v>한식당 테마·장독대 병아리(기본 70%)</x:v>
      </x:c>
      <x:c r="K18" s="118" t="str">
        <x:v>불고기, 가지 소고기 덮밥, 치즈 간장계란밥, 연어덮밥</x:v>
      </x:c>
      <x:c r="L18" s="11" t="str">
        <x:v>기본 70% 드랍 경로 추가</x:v>
      </x:c>
    </x:row>
    <x:row r="19" ht="36" customHeight="1">
      <x:c r="A19" s="11" t="str">
        <x:v>매우 부족</x:v>
      </x:c>
      <x:c r="B19" s="11" t="str">
        <x:v>김치</x:v>
      </x:c>
      <x:c r="C19" s="13" t="n">
        <x:v>4</x:v>
      </x:c>
      <x:c r="D19" s="13" t="n">
        <x:v>4</x:v>
      </x:c>
      <x:c r="E19" s="13" t="n">
        <x:v>1</x:v>
      </x:c>
      <x:c r="F19" s="13" t="n">
        <x:v>0</x:v>
      </x:c>
      <x:c r="G19" s="219" t="n">
        <x:v>0.7</x:v>
      </x:c>
      <x:c r="H19" s="219" t="n">
        <x:f>IF(OR(D19=0,G19=0),"",D19/G19)</x:f>
        <x:v>5.714285714285714</x:v>
      </x:c>
      <x:c r="I19" s="11" t="str">
        <x:v>한식당 테마</x:v>
      </x:c>
      <x:c r="J19" s="118" t="str">
        <x:v>한식당 테마·연어 병아리(기본 70%)</x:v>
      </x:c>
      <x:c r="K19" s="118" t="str">
        <x:v>김치전, 파김치, 김치볶음밥, 마늘 김치볶음</x:v>
      </x:c>
      <x:c r="L19" s="11" t="str">
        <x:v>기본 70% 드랍 경로 추가</x:v>
      </x:c>
    </x:row>
    <x:row r="20" ht="36" customHeight="1">
      <x:c r="A20" s="11" t="str">
        <x:v>매우 부족</x:v>
      </x:c>
      <x:c r="B20" s="11" t="str">
        <x:v>벌레</x:v>
      </x:c>
      <x:c r="C20" s="13" t="n">
        <x:v>4</x:v>
      </x:c>
      <x:c r="D20" s="13" t="n">
        <x:v>4</x:v>
      </x:c>
      <x:c r="E20" s="13" t="n">
        <x:v>1</x:v>
      </x:c>
      <x:c r="F20" s="13" t="n">
        <x:v>0</x:v>
      </x:c>
      <x:c r="G20" s="219" t="n">
        <x:v>0.7</x:v>
      </x:c>
      <x:c r="H20" s="219" t="n">
        <x:f>IF(OR(D20=0,G20=0),"",D20/G20)</x:f>
        <x:v>5.714285714285714</x:v>
      </x:c>
      <x:c r="I20" s="11" t="str">
        <x:v>나무 테마</x:v>
      </x:c>
      <x:c r="J20" s="118" t="str">
        <x:v>나무 테마·나무둥치 병아리(기본 70%)</x:v>
      </x:c>
      <x:c r="K20" s="118" t="str">
        <x:v>벌레 파이, 고단백 식품, 벌레먹은 나뭇잎, 바삭 벌레구이</x:v>
      </x:c>
      <x:c r="L20" s="11" t="str">
        <x:v>기본 70% 드랍 경로 추가</x:v>
      </x:c>
    </x:row>
    <x:row r="21" ht="36" customHeight="1">
      <x:c r="A21" s="11" t="str">
        <x:v>매우 부족</x:v>
      </x:c>
      <x:c r="B21" s="11" t="str">
        <x:v>쌀</x:v>
      </x:c>
      <x:c r="C21" s="13" t="n">
        <x:v>9</x:v>
      </x:c>
      <x:c r="D21" s="13" t="n">
        <x:v>9</x:v>
      </x:c>
      <x:c r="E21" s="13" t="n">
        <x:v>2</x:v>
      </x:c>
      <x:c r="F21" s="13" t="n">
        <x:v>0</x:v>
      </x:c>
      <x:c r="G21" s="219" t="n">
        <x:v>1.7</x:v>
      </x:c>
      <x:c r="H21" s="219" t="n">
        <x:f>IF(OR(D21=0,G21=0),"",D21/G21)</x:f>
        <x:v>5.294117647058823</x:v>
      </x:c>
      <x:c r="I21" s="11" t="str">
        <x:v>초록 줄무늬 테마</x:v>
      </x:c>
      <x:c r="J21" s="118" t="str">
        <x:v>초록 줄무늬 테마·농부 병아리(단일 100%), 블루 땡땡이 테마·생쥐 병아리(기본 70%)</x:v>
      </x:c>
      <x:c r="K21" s="118" t="str">
        <x:v>쌀밥, 병아리콩 밥, 트러플 크림 리조또, 계란볶음밥, 김치볶음밥, 가지 소고기 덮밥, 치즈 간장계란밥, 연어덮밥, 연어초밥</x:v>
      </x:c>
      <x:c r="L21" s="11" t="str">
        <x:v>기본 70% 드랍 경로 추가</x:v>
      </x:c>
    </x:row>
    <x:row r="22" ht="36" customHeight="1">
      <x:c r="A22" s="11" t="str">
        <x:v>매우 부족</x:v>
      </x:c>
      <x:c r="B22" s="11" t="str">
        <x:v>나뭇잎</x:v>
      </x:c>
      <x:c r="C22" s="13" t="n">
        <x:v>5</x:v>
      </x:c>
      <x:c r="D22" s="13" t="n">
        <x:v>5</x:v>
      </x:c>
      <x:c r="E22" s="13" t="n">
        <x:v>1</x:v>
      </x:c>
      <x:c r="F22" s="13" t="n">
        <x:v>0</x:v>
      </x:c>
      <x:c r="G22" s="219" t="n">
        <x:v>1</x:v>
      </x:c>
      <x:c r="H22" s="219" t="n">
        <x:f>IF(OR(D22=0,G22=0),"",D22/G22)</x:f>
        <x:v>5</x:v>
      </x:c>
      <x:c r="I22" s="11" t="str">
        <x:v>나무 테마</x:v>
      </x:c>
      <x:c r="J22" s="118" t="str">
        <x:v>나무 테마·나뭇잎 병아리(단일 100%)</x:v>
      </x:c>
      <x:c r="K22" s="118" t="str">
        <x:v>고기쌈, 상큼 나뭇잎 샐러드, 벌레먹은 나뭇잎, 아보카도 병아리콩 샐러드, 씨앗 오이 샐러드</x:v>
      </x:c>
      <x:c r="L22" s="11" t="str">
        <x:v>기본 70% 드랍 경로 추가</x:v>
      </x:c>
    </x:row>
    <x:row r="23" ht="36" customHeight="1">
      <x:c r="A23" s="11" t="str">
        <x:v>매우 부족</x:v>
      </x:c>
      <x:c r="B23" s="11" t="str">
        <x:v>양파</x:v>
      </x:c>
      <x:c r="C23" s="13" t="n">
        <x:v>5</x:v>
      </x:c>
      <x:c r="D23" s="13" t="n">
        <x:v>5</x:v>
      </x:c>
      <x:c r="E23" s="13" t="n">
        <x:v>1</x:v>
      </x:c>
      <x:c r="F23" s="13" t="n">
        <x:v>1</x:v>
      </x:c>
      <x:c r="G23" s="219" t="n">
        <x:v>1</x:v>
      </x:c>
      <x:c r="H23" s="219" t="n">
        <x:f>IF(OR(D23=0,G23=0),"",D23/G23)</x:f>
        <x:v>5</x:v>
      </x:c>
      <x:c r="I23" s="11" t="str">
        <x:v>초록 줄무늬 테마</x:v>
      </x:c>
      <x:c r="J23" s="118" t="str">
        <x:v>초록 줄무늬 테마·아보카도 병아리(기본 70%), 병아리 테마·둥지 병아리(특별 30%)</x:v>
      </x:c>
      <x:c r="K23" s="118" t="str">
        <x:v>맑은 양파 수프, 새콤 양파절임, 불고기, 가지 소고기 덮밥, 연어덮밥</x:v>
      </x:c>
      <x:c r="L23" s="11" t="str">
        <x:v>기본 70% 드랍 경로 추가</x:v>
      </x:c>
    </x:row>
    <x:row r="24" ht="36" customHeight="1">
      <x:c r="A24" s="11" t="str">
        <x:v>매우 부족</x:v>
      </x:c>
      <x:c r="B24" s="11" t="str">
        <x:v>옥수수</x:v>
      </x:c>
      <x:c r="C24" s="13" t="n">
        <x:v>2</x:v>
      </x:c>
      <x:c r="D24" s="13" t="n">
        <x:v>3</x:v>
      </x:c>
      <x:c r="E24" s="13" t="n">
        <x:v>0</x:v>
      </x:c>
      <x:c r="F24" s="13" t="n">
        <x:v>2</x:v>
      </x:c>
      <x:c r="G24" s="219" t="n">
        <x:v>0.6</x:v>
      </x:c>
      <x:c r="H24" s="219" t="n">
        <x:f>IF(OR(D24=0,G24=0),"",D24/G24)</x:f>
        <x:v>5</x:v>
      </x:c>
      <x:c r="I24" s="11" t="str">
        <x:v>블루화이트 테마</x:v>
      </x:c>
      <x:c r="J24" s="118" t="str">
        <x:v>블루화이트 테마·까마귀 병아리(특별 30%), 톨게이트 테마·러버콘 병아리(특별 30%)</x:v>
      </x:c>
      <x:c r="K24" s="118" t="str">
        <x:v>구운 옥수수, 콘스프</x:v>
      </x:c>
      <x:c r="L24" s="11" t="str">
        <x:v>기본 70% 드랍 경로 추가</x:v>
      </x:c>
    </x:row>
    <x:row r="25" ht="36" customHeight="1">
      <x:c r="A25" s="11" t="str">
        <x:v>매우 부족</x:v>
      </x:c>
      <x:c r="B25" s="11" t="str">
        <x:v>파</x:v>
      </x:c>
      <x:c r="C25" s="13" t="n">
        <x:v>3</x:v>
      </x:c>
      <x:c r="D25" s="13" t="n">
        <x:v>3</x:v>
      </x:c>
      <x:c r="E25" s="13" t="n">
        <x:v>0</x:v>
      </x:c>
      <x:c r="F25" s="13" t="n">
        <x:v>2</x:v>
      </x:c>
      <x:c r="G25" s="219" t="n">
        <x:v>0.6</x:v>
      </x:c>
      <x:c r="H25" s="219" t="n">
        <x:f>IF(OR(D25=0,G25=0),"",D25/G25)</x:f>
        <x:v>5</x:v>
      </x:c>
      <x:c r="I25" s="11" t="str">
        <x:v>한식당 테마</x:v>
      </x:c>
      <x:c r="J25" s="118" t="str">
        <x:v>한식당 테마·연어 병아리(특별 30%), 채소밭 테마·배추 병아리(특별 30%)</x:v>
      </x:c>
      <x:c r="K25" s="118" t="str">
        <x:v>파김치, 양배추 딤섬, 마늘 육회</x:v>
      </x:c>
      <x:c r="L25" s="11" t="str">
        <x:v>기본 70% 드랍 경로 추가</x:v>
      </x:c>
    </x:row>
    <x:row r="26" ht="36" customHeight="1">
      <x:c r="A26" s="11" t="str">
        <x:v>부족</x:v>
      </x:c>
      <x:c r="B26" s="11" t="str">
        <x:v>밀가루</x:v>
      </x:c>
      <x:c r="C26" s="13" t="n">
        <x:v>11</x:v>
      </x:c>
      <x:c r="D26" s="13" t="n">
        <x:v>11</x:v>
      </x:c>
      <x:c r="E26" s="13" t="n">
        <x:v>3</x:v>
      </x:c>
      <x:c r="F26" s="13" t="n">
        <x:v>0</x:v>
      </x:c>
      <x:c r="G26" s="219" t="n">
        <x:v>2.4</x:v>
      </x:c>
      <x:c r="H26" s="219" t="n">
        <x:f>IF(OR(D26=0,G26=0),"",D26/G26)</x:f>
        <x:v>4.583333333333334</x:v>
      </x:c>
      <x:c r="I26" s="11" t="str">
        <x:v>돌 테마</x:v>
      </x:c>
      <x:c r="J26" s="118" t="str">
        <x:v>돌 테마·쿠키 병아리(단일 100%), 초록 줄무늬 테마·새싹 병아리(기본 70%), 블루화이트 테마·파란 리본 병아리(기본 70%)</x:v>
      </x:c>
      <x:c r="K26" s="118" t="str">
        <x:v>병아리콩 팬케이크, 육전, 벌레 파이, 새싹전, 바삭 벌레구이, 시나몬 롤, 진저브레드, 해바라기씨 파이, 딸기 생크림 케이크, 김치전, 양배추 딤섬</x:v>
      </x:c>
      <x:c r="L26" s="11" t="str">
        <x:v>중복 드랍 경로 검토</x:v>
      </x:c>
    </x:row>
    <x:row r="27" ht="36" customHeight="1">
      <x:c r="A27" s="11" t="str">
        <x:v>부족</x:v>
      </x:c>
      <x:c r="B27" s="11" t="str">
        <x:v>사과</x:v>
      </x:c>
      <x:c r="C27" s="13" t="n">
        <x:v>3</x:v>
      </x:c>
      <x:c r="D27" s="13" t="n">
        <x:v>3</x:v>
      </x:c>
      <x:c r="E27" s="13" t="n">
        <x:v>1</x:v>
      </x:c>
      <x:c r="F27" s="13" t="n">
        <x:v>0</x:v>
      </x:c>
      <x:c r="G27" s="219" t="n">
        <x:v>0.7</x:v>
      </x:c>
      <x:c r="H27" s="219" t="n">
        <x:f>IF(OR(D27=0,G27=0),"",D27/G27)</x:f>
        <x:v>4.285714285714286</x:v>
      </x:c>
      <x:c r="I27" s="11" t="str">
        <x:v>그린핑크 테마</x:v>
      </x:c>
      <x:c r="J27" s="118" t="str">
        <x:v>그린핑크 테마·복숭아씨 병아리(기본 70%)</x:v>
      </x:c>
      <x:c r="K27" s="118" t="str">
        <x:v>사과 생강차, 시나몬 사과조림, 과일 가족 모임</x:v>
      </x:c>
      <x:c r="L27" s="11" t="str">
        <x:v>중복 드랍 경로 검토</x:v>
      </x:c>
    </x:row>
    <x:row r="28" ht="36" customHeight="1">
      <x:c r="A28" s="11" t="str">
        <x:v>부족</x:v>
      </x:c>
      <x:c r="B28" s="11" t="str">
        <x:v>생강</x:v>
      </x:c>
      <x:c r="C28" s="13" t="n">
        <x:v>3</x:v>
      </x:c>
      <x:c r="D28" s="13" t="n">
        <x:v>3</x:v>
      </x:c>
      <x:c r="E28" s="13" t="n">
        <x:v>1</x:v>
      </x:c>
      <x:c r="F28" s="13" t="n">
        <x:v>0</x:v>
      </x:c>
      <x:c r="G28" s="219" t="n">
        <x:v>0.7</x:v>
      </x:c>
      <x:c r="H28" s="219" t="n">
        <x:f>IF(OR(D28=0,G28=0),"",D28/G28)</x:f>
        <x:v>4.285714285714286</x:v>
      </x:c>
      <x:c r="I28" s="11" t="str">
        <x:v>그린핑크 테마</x:v>
      </x:c>
      <x:c r="J28" s="118" t="str">
        <x:v>그린핑크 테마·복숭아 병아리(기본 70%)</x:v>
      </x:c>
      <x:c r="K28" s="118" t="str">
        <x:v>생강차, 사과 생강차, 진저브레드</x:v>
      </x:c>
      <x:c r="L28" s="11" t="str">
        <x:v>중복 드랍 경로 검토</x:v>
      </x:c>
    </x:row>
    <x:row r="29" ht="36" customHeight="1">
      <x:c r="A29" s="11" t="str">
        <x:v>부족</x:v>
      </x:c>
      <x:c r="B29" s="11" t="str">
        <x:v>소금</x:v>
      </x:c>
      <x:c r="C29" s="13" t="n">
        <x:v>4</x:v>
      </x:c>
      <x:c r="D29" s="13" t="n">
        <x:v>4</x:v>
      </x:c>
      <x:c r="E29" s="13" t="n">
        <x:v>1</x:v>
      </x:c>
      <x:c r="F29" s="13" t="n">
        <x:v>1</x:v>
      </x:c>
      <x:c r="G29" s="219" t="n">
        <x:v>1</x:v>
      </x:c>
      <x:c r="H29" s="219" t="n">
        <x:f>IF(OR(D29=0,G29=0),"",D29/G29)</x:f>
        <x:v>4</x:v>
      </x:c>
      <x:c r="I29" s="11" t="str">
        <x:v>블루화이트 테마</x:v>
      </x:c>
      <x:c r="J29" s="118" t="str">
        <x:v>블루화이트 테마·까마귀 병아리(기본 70%), 캠핑 테마·카우보이 병아리(특별 30%)</x:v>
      </x:c>
      <x:c r="K29" s="118" t="str">
        <x:v>바삭 벌레구이, 콘스프, 대구구이, 연어구이</x:v>
      </x:c>
      <x:c r="L29" s="11" t="str">
        <x:v>중복 드랍 경로 검토</x:v>
      </x:c>
    </x:row>
    <x:row r="30" ht="36" customHeight="1">
      <x:c r="A30" s="11" t="str">
        <x:v>부족</x:v>
      </x:c>
      <x:c r="B30" s="11" t="str">
        <x:v>꿀</x:v>
      </x:c>
      <x:c r="C30" s="13" t="n">
        <x:v>5</x:v>
      </x:c>
      <x:c r="D30" s="13" t="n">
        <x:v>5</x:v>
      </x:c>
      <x:c r="E30" s="13" t="n">
        <x:v>1</x:v>
      </x:c>
      <x:c r="F30" s="13" t="n">
        <x:v>1</x:v>
      </x:c>
      <x:c r="G30" s="219" t="n">
        <x:v>1.3</x:v>
      </x:c>
      <x:c r="H30" s="219" t="n">
        <x:f>IF(OR(D30=0,G30=0),"",D30/G30)</x:f>
        <x:v>3.846153846153846</x:v>
      </x:c>
      <x:c r="I30" s="11" t="str">
        <x:v>그린핑크 테마</x:v>
      </x:c>
      <x:c r="J30" s="118" t="str">
        <x:v>그린핑크 테마·복숭아 병아리(특별 30%), 벚꽃 테마·꿀벌 병아리(단일 100%)</x:v>
      </x:c>
      <x:c r="K30" s="118" t="str">
        <x:v>계피차, 생강차, 사과 생강차, 시나몬 사과조림, 복숭아 요거트</x:v>
      </x:c>
      <x:c r="L30" s="11" t="str">
        <x:v>중복 드랍 경로 검토</x:v>
      </x:c>
    </x:row>
    <x:row r="31" ht="36" customHeight="1">
      <x:c r="A31" s="11" t="str">
        <x:v>부족</x:v>
      </x:c>
      <x:c r="B31" s="11" t="str">
        <x:v>도토리</x:v>
      </x:c>
      <x:c r="C31" s="13" t="n">
        <x:v>2</x:v>
      </x:c>
      <x:c r="D31" s="13" t="n">
        <x:v>2</x:v>
      </x:c>
      <x:c r="E31" s="13" t="n">
        <x:v>0</x:v>
      </x:c>
      <x:c r="F31" s="13" t="n">
        <x:v>2</x:v>
      </x:c>
      <x:c r="G31" s="219" t="n">
        <x:v>0.6</x:v>
      </x:c>
      <x:c r="H31" s="219" t="n">
        <x:f>IF(OR(D31=0,G31=0),"",D31/G31)</x:f>
        <x:v>3.3333333333333335</x:v>
      </x:c>
      <x:c r="I31" s="11" t="str">
        <x:v>나무 테마</x:v>
      </x:c>
      <x:c r="J31" s="118" t="str">
        <x:v>나무 테마·도토리 병아리(특별 30%), 옛날 사무실 테마·회사원 병아리(특별 30%)</x:v>
      </x:c>
      <x:c r="K31" s="118" t="str">
        <x:v>도토리묵, 상큼 나뭇잎 샐러드</x:v>
      </x:c>
      <x:c r="L31" s="11" t="str">
        <x:v>중복 드랍 경로 검토</x:v>
      </x:c>
    </x:row>
    <x:row r="32" ht="36" customHeight="1">
      <x:c r="A32" s="11" t="str">
        <x:v>부족</x:v>
      </x:c>
      <x:c r="B32" s="11" t="str">
        <x:v>딸기</x:v>
      </x:c>
      <x:c r="C32" s="13" t="n">
        <x:v>2</x:v>
      </x:c>
      <x:c r="D32" s="13" t="n">
        <x:v>2</x:v>
      </x:c>
      <x:c r="E32" s="13" t="n">
        <x:v>0</x:v>
      </x:c>
      <x:c r="F32" s="13" t="n">
        <x:v>2</x:v>
      </x:c>
      <x:c r="G32" s="219" t="n">
        <x:v>0.6</x:v>
      </x:c>
      <x:c r="H32" s="219" t="n">
        <x:f>IF(OR(D32=0,G32=0),"",D32/G32)</x:f>
        <x:v>3.3333333333333335</x:v>
      </x:c>
      <x:c r="I32" s="11" t="str">
        <x:v>벚꽃 테마</x:v>
      </x:c>
      <x:c r="J32" s="118" t="str">
        <x:v>벚꽃 테마·체리 병아리(특별 30%), 식빵 테마·잼 병아리(특별 30%)</x:v>
      </x:c>
      <x:c r="K32" s="118" t="str">
        <x:v>딸기 생크림 케이크, 과일 가족 모임</x:v>
      </x:c>
      <x:c r="L32" s="11" t="str">
        <x:v>중복 드랍 경로 검토</x:v>
      </x:c>
    </x:row>
    <x:row r="33" ht="36" customHeight="1">
      <x:c r="A33" s="11" t="str">
        <x:v>부족</x:v>
      </x:c>
      <x:c r="B33" s="11" t="str">
        <x:v>치즈</x:v>
      </x:c>
      <x:c r="C33" s="13" t="n">
        <x:v>2</x:v>
      </x:c>
      <x:c r="D33" s="13" t="n">
        <x:v>2</x:v>
      </x:c>
      <x:c r="E33" s="13" t="n">
        <x:v>0</x:v>
      </x:c>
      <x:c r="F33" s="13" t="n">
        <x:v>2</x:v>
      </x:c>
      <x:c r="G33" s="219" t="n">
        <x:v>0.6</x:v>
      </x:c>
      <x:c r="H33" s="219" t="n">
        <x:f>IF(OR(D33=0,G33=0),"",D33/G33)</x:f>
        <x:v>3.3333333333333335</x:v>
      </x:c>
      <x:c r="I33" s="11" t="str">
        <x:v>블루 땡땡이 테마</x:v>
      </x:c>
      <x:c r="J33" s="118" t="str">
        <x:v>블루 땡땡이 테마·생쥐 병아리(특별 30%), 이태리 테마·피자 병아리(특별 30%)</x:v>
      </x:c>
      <x:c r="K33" s="118" t="str">
        <x:v>치즈 간장계란밥, 치즈 오믈렛</x:v>
      </x:c>
      <x:c r="L33" s="11" t="str">
        <x:v>중복 드랍 경로 검토</x:v>
      </x:c>
    </x:row>
    <x:row r="34" ht="36" customHeight="1">
      <x:c r="A34" s="11" t="str">
        <x:v>부족</x:v>
      </x:c>
      <x:c r="B34" s="11" t="str">
        <x:v>된장</x:v>
      </x:c>
      <x:c r="C34" s="13" t="n">
        <x:v>1</x:v>
      </x:c>
      <x:c r="D34" s="13" t="n">
        <x:v>1</x:v>
      </x:c>
      <x:c r="E34" s="13" t="n">
        <x:v>0</x:v>
      </x:c>
      <x:c r="F34" s="13" t="n">
        <x:v>1</x:v>
      </x:c>
      <x:c r="G34" s="219" t="n">
        <x:v>0.3</x:v>
      </x:c>
      <x:c r="H34" s="219" t="n">
        <x:f>IF(OR(D34=0,G34=0),"",D34/G34)</x:f>
        <x:v>3.3333333333333335</x:v>
      </x:c>
      <x:c r="I34" s="11" t="str">
        <x:v>한식당 테마</x:v>
      </x:c>
      <x:c r="J34" s="118" t="str">
        <x:v>한식당 테마·장독대 병아리(특별 30%)</x:v>
      </x:c>
      <x:c r="K34" s="118" t="str">
        <x:v>된장국</x:v>
      </x:c>
      <x:c r="L34" s="11" t="str">
        <x:v>중복 드랍 경로 검토</x:v>
      </x:c>
    </x:row>
    <x:row r="35" ht="36" customHeight="1">
      <x:c r="A35" s="11" t="str">
        <x:v>부족</x:v>
      </x:c>
      <x:c r="B35" s="11" t="str">
        <x:v>새싹</x:v>
      </x:c>
      <x:c r="C35" s="13" t="n">
        <x:v>1</x:v>
      </x:c>
      <x:c r="D35" s="13" t="n">
        <x:v>1</x:v>
      </x:c>
      <x:c r="E35" s="13" t="n">
        <x:v>0</x:v>
      </x:c>
      <x:c r="F35" s="13" t="n">
        <x:v>1</x:v>
      </x:c>
      <x:c r="G35" s="219" t="n">
        <x:v>0.3</x:v>
      </x:c>
      <x:c r="H35" s="219" t="n">
        <x:f>IF(OR(D35=0,G35=0),"",D35/G35)</x:f>
        <x:v>3.3333333333333335</x:v>
      </x:c>
      <x:c r="I35" s="11" t="str">
        <x:v>초록 줄무늬 테마</x:v>
      </x:c>
      <x:c r="J35" s="118" t="str">
        <x:v>초록 줄무늬 테마·새싹 병아리(특별 30%)</x:v>
      </x:c>
      <x:c r="K35" s="118" t="str">
        <x:v>새싹전</x:v>
      </x:c>
      <x:c r="L35" s="11" t="str">
        <x:v>중복 드랍 경로 검토</x:v>
      </x:c>
    </x:row>
    <x:row r="36" ht="36" customHeight="1">
      <x:c r="A36" s="11" t="str">
        <x:v>부족</x:v>
      </x:c>
      <x:c r="B36" s="11" t="str">
        <x:v>아보카도</x:v>
      </x:c>
      <x:c r="C36" s="13" t="n">
        <x:v>1</x:v>
      </x:c>
      <x:c r="D36" s="13" t="n">
        <x:v>1</x:v>
      </x:c>
      <x:c r="E36" s="13" t="n">
        <x:v>0</x:v>
      </x:c>
      <x:c r="F36" s="13" t="n">
        <x:v>1</x:v>
      </x:c>
      <x:c r="G36" s="219" t="n">
        <x:v>0.3</x:v>
      </x:c>
      <x:c r="H36" s="219" t="n">
        <x:f>IF(OR(D36=0,G36=0),"",D36/G36)</x:f>
        <x:v>3.3333333333333335</x:v>
      </x:c>
      <x:c r="I36" s="11" t="str">
        <x:v>초록 줄무늬 테마</x:v>
      </x:c>
      <x:c r="J36" s="118" t="str">
        <x:v>초록 줄무늬 테마·아보카도 병아리(특별 30%)</x:v>
      </x:c>
      <x:c r="K36" s="118" t="str">
        <x:v>아보카도 병아리콩 샐러드</x:v>
      </x:c>
      <x:c r="L36" s="11" t="str">
        <x:v>중복 드랍 경로 검토</x:v>
      </x:c>
    </x:row>
    <x:row r="37" ht="36" customHeight="1">
      <x:c r="A37" s="11" t="str">
        <x:v>레시피 미사용</x:v>
      </x:c>
      <x:c r="B37" s="11" t="str">
        <x:v>버섯</x:v>
      </x:c>
      <x:c r="C37" s="13" t="n">
        <x:v>0</x:v>
      </x:c>
      <x:c r="D37" s="13" t="n">
        <x:v>0</x:v>
      </x:c>
      <x:c r="E37" s="13" t="n">
        <x:v>3</x:v>
      </x:c>
      <x:c r="F37" s="13" t="n">
        <x:v>0</x:v>
      </x:c>
      <x:c r="G37" s="219" t="n">
        <x:v>2.4</x:v>
      </x:c>
      <x:c r="H37" s="219" t="str">
        <x:f>IF(OR(D37=0,G37=0),"",D37/G37)</x:f>
      </x:c>
      <x:c r="I37" s="11" t="str">
        <x:v>캠핑 테마</x:v>
      </x:c>
      <x:c r="J37" s="118" t="str">
        <x:v>캠핑 테마·카우보이 병아리(기본 70%), 톨게이트 테마·맨홀뚜껑 병아리(기본 70%), 버섯 늪 테마·이끼 병아리(단일 100%)</x:v>
      </x:c>
      <x:c r="K37" s="118" t="str"/>
      <x:c r="L37" s="11" t="str">
        <x:v>레시피 추가 또는 드랍 재배치</x:v>
      </x:c>
    </x:row>
    <x:row r="38" ht="36" customHeight="1">
      <x:c r="A38" s="11" t="str">
        <x:v>레시피 미사용</x:v>
      </x:c>
      <x:c r="B38" s="11" t="str">
        <x:v>감자</x:v>
      </x:c>
      <x:c r="C38" s="13" t="n">
        <x:v>0</x:v>
      </x:c>
      <x:c r="D38" s="13" t="n">
        <x:v>0</x:v>
      </x:c>
      <x:c r="E38" s="13" t="n">
        <x:v>2</x:v>
      </x:c>
      <x:c r="F38" s="13" t="n">
        <x:v>1</x:v>
      </x:c>
      <x:c r="G38" s="219" t="n">
        <x:v>1.7</x:v>
      </x:c>
      <x:c r="H38" s="219" t="str">
        <x:f>IF(OR(D38=0,G38=0),"",D38/G38)</x:f>
      </x:c>
      <x:c r="I38" s="11" t="str">
        <x:v>병아리 테마</x:v>
      </x:c>
      <x:c r="J38" s="118" t="str">
        <x:v>병아리 테마·둥지 병아리(기본 70%), 패스트푸드 테마·감자튀김 병아리(기본 70%), 오락실 테마·헤드셋 병아리(특별 30%)</x:v>
      </x:c>
      <x:c r="K38" s="118" t="str"/>
      <x:c r="L38" s="11" t="str">
        <x:v>레시피 추가 또는 드랍 재배치</x:v>
      </x:c>
    </x:row>
    <x:row r="39" ht="36" customHeight="1">
      <x:c r="A39" s="11" t="str">
        <x:v>레시피 미사용</x:v>
      </x:c>
      <x:c r="B39" s="11" t="str">
        <x:v>당근</x:v>
      </x:c>
      <x:c r="C39" s="13" t="n">
        <x:v>0</x:v>
      </x:c>
      <x:c r="D39" s="13" t="n">
        <x:v>0</x:v>
      </x:c>
      <x:c r="E39" s="13" t="n">
        <x:v>2</x:v>
      </x:c>
      <x:c r="F39" s="13" t="n">
        <x:v>0</x:v>
      </x:c>
      <x:c r="G39" s="219" t="n">
        <x:v>1.4</x:v>
      </x:c>
      <x:c r="H39" s="219" t="str">
        <x:f>IF(OR(D39=0,G39=0),"",D39/G39)</x:f>
      </x:c>
      <x:c r="I39" s="11" t="str">
        <x:v>톨게이트 테마</x:v>
      </x:c>
      <x:c r="J39" s="118" t="str">
        <x:v>톨게이트 테마·러버콘 병아리(기본 70%), 학교 테마·연필 병아리(기본 70%)</x:v>
      </x:c>
      <x:c r="K39" s="118" t="str"/>
      <x:c r="L39" s="11" t="str">
        <x:v>레시피 추가 또는 드랍 재배치</x:v>
      </x:c>
    </x:row>
    <x:row r="40" ht="36" customHeight="1">
      <x:c r="A40" s="11" t="str">
        <x:v>레시피 미사용</x:v>
      </x:c>
      <x:c r="B40" s="11" t="str">
        <x:v>빵</x:v>
      </x:c>
      <x:c r="C40" s="13" t="n">
        <x:v>0</x:v>
      </x:c>
      <x:c r="D40" s="13" t="n">
        <x:v>0</x:v>
      </x:c>
      <x:c r="E40" s="13" t="n">
        <x:v>2</x:v>
      </x:c>
      <x:c r="F40" s="13" t="n">
        <x:v>0</x:v>
      </x:c>
      <x:c r="G40" s="219" t="n">
        <x:v>1.4</x:v>
      </x:c>
      <x:c r="H40" s="219" t="str">
        <x:f>IF(OR(D40=0,G40=0),"",D40/G40)</x:f>
      </x:c>
      <x:c r="I40" s="11" t="str">
        <x:v>식빵 테마</x:v>
      </x:c>
      <x:c r="J40" s="118" t="str">
        <x:v>식빵 테마·식빵 병아리(기본 70%), 패스트푸드 테마·햄버거 병아리(기본 70%)</x:v>
      </x:c>
      <x:c r="K40" s="118" t="str"/>
      <x:c r="L40" s="11" t="str">
        <x:v>레시피 추가 또는 드랍 재배치</x:v>
      </x:c>
    </x:row>
    <x:row r="41" ht="36" customHeight="1">
      <x:c r="A41" s="11" t="str">
        <x:v>레시피 미사용</x:v>
      </x:c>
      <x:c r="B41" s="11" t="str">
        <x:v>알로에</x:v>
      </x:c>
      <x:c r="C41" s="13" t="n">
        <x:v>0</x:v>
      </x:c>
      <x:c r="D41" s="13" t="n">
        <x:v>0</x:v>
      </x:c>
      <x:c r="E41" s="13" t="n">
        <x:v>2</x:v>
      </x:c>
      <x:c r="F41" s="13" t="n">
        <x:v>0</x:v>
      </x:c>
      <x:c r="G41" s="219" t="n">
        <x:v>1.4</x:v>
      </x:c>
      <x:c r="H41" s="219" t="str">
        <x:f>IF(OR(D41=0,G41=0),"",D41/G41)</x:f>
      </x:c>
      <x:c r="I41" s="11" t="str">
        <x:v>버섯 늪 테마</x:v>
      </x:c>
      <x:c r="J41" s="118" t="str">
        <x:v>버섯 늪 테마·개구리 병아리(기본 70%), 우주 점성술 테마·외계인 병아리(기본 70%)</x:v>
      </x:c>
      <x:c r="K41" s="118" t="str"/>
      <x:c r="L41" s="11" t="str">
        <x:v>레시피 추가 또는 드랍 재배치</x:v>
      </x:c>
    </x:row>
    <x:row r="42" ht="36" customHeight="1">
      <x:c r="A42" s="11" t="str">
        <x:v>레시피 미사용</x:v>
      </x:c>
      <x:c r="B42" s="11" t="str">
        <x:v>버터</x:v>
      </x:c>
      <x:c r="C42" s="13" t="n">
        <x:v>0</x:v>
      </x:c>
      <x:c r="D42" s="13" t="n">
        <x:v>0</x:v>
      </x:c>
      <x:c r="E42" s="13" t="n">
        <x:v>1</x:v>
      </x:c>
      <x:c r="F42" s="13" t="n">
        <x:v>1</x:v>
      </x:c>
      <x:c r="G42" s="219" t="n">
        <x:v>1.3</x:v>
      </x:c>
      <x:c r="H42" s="219" t="str">
        <x:f>IF(OR(D42=0,G42=0),"",D42/G42)</x:f>
      </x:c>
      <x:c r="I42" s="11" t="str">
        <x:v>식빵 테마</x:v>
      </x:c>
      <x:c r="J42" s="118" t="str">
        <x:v>식빵 테마·밀가루 포대 병아리(단일 100%), 무덤 테마·촛불 병아리(특별 30%)</x:v>
      </x:c>
      <x:c r="K42" s="118" t="str"/>
      <x:c r="L42" s="11" t="str">
        <x:v>레시피 추가 또는 드랍 재배치</x:v>
      </x:c>
    </x:row>
    <x:row r="43" ht="36" customHeight="1">
      <x:c r="A43" s="11" t="str">
        <x:v>레시피 미사용</x:v>
      </x:c>
      <x:c r="B43" s="11" t="str">
        <x:v>고추</x:v>
      </x:c>
      <x:c r="C43" s="13" t="n">
        <x:v>0</x:v>
      </x:c>
      <x:c r="D43" s="13" t="n">
        <x:v>0</x:v>
      </x:c>
      <x:c r="E43" s="13" t="n">
        <x:v>1</x:v>
      </x:c>
      <x:c r="F43" s="13" t="n">
        <x:v>1</x:v>
      </x:c>
      <x:c r="G43" s="219" t="n">
        <x:v>1</x:v>
      </x:c>
      <x:c r="H43" s="219" t="str">
        <x:f>IF(OR(D43=0,G43=0),"",D43/G43)</x:f>
      </x:c>
      <x:c r="I43" s="11" t="str">
        <x:v>캠핑 테마</x:v>
      </x:c>
      <x:c r="J43" s="118" t="str">
        <x:v>캠핑 테마·캠프파이어 병아리(기본 70%), 해적선 테마·폭탄 병아리(특별 30%)</x:v>
      </x:c>
      <x:c r="K43" s="118" t="str"/>
      <x:c r="L43" s="11" t="str">
        <x:v>레시피 추가 또는 드랍 재배치</x:v>
      </x:c>
    </x:row>
    <x:row r="44" ht="36" customHeight="1">
      <x:c r="A44" s="11" t="str">
        <x:v>레시피 미사용</x:v>
      </x:c>
      <x:c r="B44" s="11" t="str">
        <x:v>녹차</x:v>
      </x:c>
      <x:c r="C44" s="13" t="n">
        <x:v>0</x:v>
      </x:c>
      <x:c r="D44" s="13" t="n">
        <x:v>0</x:v>
      </x:c>
      <x:c r="E44" s="13" t="n">
        <x:v>1</x:v>
      </x:c>
      <x:c r="F44" s="13" t="n">
        <x:v>0</x:v>
      </x:c>
      <x:c r="G44" s="219" t="n">
        <x:v>1</x:v>
      </x:c>
      <x:c r="H44" s="219" t="str">
        <x:f>IF(OR(D44=0,G44=0),"",D44/G44)</x:f>
      </x:c>
      <x:c r="I44" s="11" t="str">
        <x:v>양반집 테마</x:v>
      </x:c>
      <x:c r="J44" s="118" t="str">
        <x:v>양반집 테마·고려청자 병아리(단일 100%)</x:v>
      </x:c>
      <x:c r="K44" s="118" t="str"/>
      <x:c r="L44" s="11" t="str">
        <x:v>레시피 추가 또는 드랍 재배치</x:v>
      </x:c>
    </x:row>
    <x:row r="45" ht="36" customHeight="1">
      <x:c r="A45" s="11" t="str">
        <x:v>레시피 미사용</x:v>
      </x:c>
      <x:c r="B45" s="11" t="str">
        <x:v>떡</x:v>
      </x:c>
      <x:c r="C45" s="13" t="n">
        <x:v>0</x:v>
      </x:c>
      <x:c r="D45" s="13" t="n">
        <x:v>0</x:v>
      </x:c>
      <x:c r="E45" s="13" t="n">
        <x:v>1</x:v>
      </x:c>
      <x:c r="F45" s="13" t="n">
        <x:v>0</x:v>
      </x:c>
      <x:c r="G45" s="219" t="n">
        <x:v>1</x:v>
      </x:c>
      <x:c r="H45" s="219" t="str">
        <x:f>IF(OR(D45=0,G45=0),"",D45/G45)</x:f>
      </x:c>
      <x:c r="I45" s="11" t="str">
        <x:v>양반집 테마</x:v>
      </x:c>
      <x:c r="J45" s="118" t="str">
        <x:v>양반집 테마·엽전 병아리(단일 100%)</x:v>
      </x:c>
      <x:c r="K45" s="118" t="str"/>
      <x:c r="L45" s="11" t="str">
        <x:v>레시피 추가 또는 드랍 재배치</x:v>
      </x:c>
    </x:row>
    <x:row r="46" ht="36" customHeight="1">
      <x:c r="A46" s="11" t="str">
        <x:v>레시피 미사용</x:v>
      </x:c>
      <x:c r="B46" s="11" t="str">
        <x:v>라이스페이퍼</x:v>
      </x:c>
      <x:c r="C46" s="13" t="n">
        <x:v>0</x:v>
      </x:c>
      <x:c r="D46" s="13" t="n">
        <x:v>0</x:v>
      </x:c>
      <x:c r="E46" s="13" t="n">
        <x:v>1</x:v>
      </x:c>
      <x:c r="F46" s="13" t="n">
        <x:v>0</x:v>
      </x:c>
      <x:c r="G46" s="219" t="n">
        <x:v>1</x:v>
      </x:c>
      <x:c r="H46" s="219" t="str">
        <x:f>IF(OR(D46=0,G46=0),"",D46/G46)</x:f>
      </x:c>
      <x:c r="I46" s="11" t="str">
        <x:v>연금술 테마</x:v>
      </x:c>
      <x:c r="J46" s="118" t="str">
        <x:v>연금술 테마·마법책 병아리(단일 100%)</x:v>
      </x:c>
      <x:c r="K46" s="118" t="str"/>
      <x:c r="L46" s="11" t="str">
        <x:v>레시피 추가 또는 드랍 재배치</x:v>
      </x:c>
    </x:row>
    <x:row r="47" ht="36" customHeight="1">
      <x:c r="A47" s="11" t="str">
        <x:v>레시피 미사용</x:v>
      </x:c>
      <x:c r="B47" s="11" t="str">
        <x:v>랜덤 재료</x:v>
      </x:c>
      <x:c r="C47" s="13" t="n">
        <x:v>0</x:v>
      </x:c>
      <x:c r="D47" s="13" t="n">
        <x:v>0</x:v>
      </x:c>
      <x:c r="E47" s="13" t="n">
        <x:v>1</x:v>
      </x:c>
      <x:c r="F47" s="13" t="n">
        <x:v>0</x:v>
      </x:c>
      <x:c r="G47" s="219" t="n">
        <x:v>1</x:v>
      </x:c>
      <x:c r="H47" s="219" t="str">
        <x:f>IF(OR(D47=0,G47=0),"",D47/G47)</x:f>
      </x:c>
      <x:c r="I47" s="11" t="str">
        <x:v>오락실 테마</x:v>
      </x:c>
      <x:c r="J47" s="118" t="str">
        <x:v>오락실 테마·오락기 병아리(단일 100%)</x:v>
      </x:c>
      <x:c r="K47" s="118" t="str"/>
      <x:c r="L47" s="11" t="str">
        <x:v>레시피 추가 또는 드랍 재배치</x:v>
      </x:c>
    </x:row>
    <x:row r="48" ht="36" customHeight="1">
      <x:c r="A48" s="11" t="str">
        <x:v>레시피 미사용</x:v>
      </x:c>
      <x:c r="B48" s="11" t="str">
        <x:v>마카로니</x:v>
      </x:c>
      <x:c r="C48" s="13" t="n">
        <x:v>0</x:v>
      </x:c>
      <x:c r="D48" s="13" t="n">
        <x:v>0</x:v>
      </x:c>
      <x:c r="E48" s="13" t="n">
        <x:v>1</x:v>
      </x:c>
      <x:c r="F48" s="13" t="n">
        <x:v>0</x:v>
      </x:c>
      <x:c r="G48" s="219" t="n">
        <x:v>1</x:v>
      </x:c>
      <x:c r="H48" s="219" t="str">
        <x:f>IF(OR(D48=0,G48=0),"",D48/G48)</x:f>
      </x:c>
      <x:c r="I48" s="11" t="str">
        <x:v>학교 테마</x:v>
      </x:c>
      <x:c r="J48" s="118" t="str">
        <x:v>학교 테마·리코더 병아리(단일 100%)</x:v>
      </x:c>
      <x:c r="K48" s="118" t="str"/>
      <x:c r="L48" s="11" t="str">
        <x:v>레시피 추가 또는 드랍 재배치</x:v>
      </x:c>
    </x:row>
    <x:row r="49" ht="36" customHeight="1">
      <x:c r="A49" s="11" t="str">
        <x:v>레시피 미사용</x:v>
      </x:c>
      <x:c r="B49" s="11" t="str">
        <x:v>민트</x:v>
      </x:c>
      <x:c r="C49" s="13" t="n">
        <x:v>0</x:v>
      </x:c>
      <x:c r="D49" s="13" t="n">
        <x:v>0</x:v>
      </x:c>
      <x:c r="E49" s="13" t="n">
        <x:v>1</x:v>
      </x:c>
      <x:c r="F49" s="13" t="n">
        <x:v>1</x:v>
      </x:c>
      <x:c r="G49" s="219" t="n">
        <x:v>1</x:v>
      </x:c>
      <x:c r="H49" s="219" t="str">
        <x:f>IF(OR(D49=0,G49=0),"",D49/G49)</x:f>
      </x:c>
      <x:c r="I49" s="11" t="str">
        <x:v>목욕탕 테마</x:v>
      </x:c>
      <x:c r="J49" s="118" t="str">
        <x:v>목욕탕 테마·목욕 바구니 병아리(기본 70%), 목욕탕 테마·줄무늬 병아리(특별 30%)</x:v>
      </x:c>
      <x:c r="K49" s="118" t="str"/>
      <x:c r="L49" s="11" t="str">
        <x:v>레시피 추가 또는 드랍 재배치</x:v>
      </x:c>
    </x:row>
    <x:row r="50" ht="36" customHeight="1">
      <x:c r="A50" s="11" t="str">
        <x:v>레시피 미사용</x:v>
      </x:c>
      <x:c r="B50" s="11" t="str">
        <x:v>새우</x:v>
      </x:c>
      <x:c r="C50" s="13" t="n">
        <x:v>0</x:v>
      </x:c>
      <x:c r="D50" s="13" t="n">
        <x:v>0</x:v>
      </x:c>
      <x:c r="E50" s="13" t="n">
        <x:v>1</x:v>
      </x:c>
      <x:c r="F50" s="13" t="n">
        <x:v>1</x:v>
      </x:c>
      <x:c r="G50" s="219" t="n">
        <x:v>1</x:v>
      </x:c>
      <x:c r="H50" s="219" t="str">
        <x:f>IF(OR(D50=0,G50=0),"",D50/G50)</x:f>
      </x:c>
      <x:c r="I50" s="11" t="str">
        <x:v>해적선 테마</x:v>
      </x:c>
      <x:c r="J50" s="118" t="str">
        <x:v>해적선 테마·후크선장 병아리(기본 70%), 바닷속 테마·상어 병아리(특별 30%)</x:v>
      </x:c>
      <x:c r="K50" s="118" t="str"/>
      <x:c r="L50" s="11" t="str">
        <x:v>레시피 추가 또는 드랍 재배치</x:v>
      </x:c>
    </x:row>
    <x:row r="51" ht="36" customHeight="1">
      <x:c r="A51" s="11" t="str">
        <x:v>레시피 미사용</x:v>
      </x:c>
      <x:c r="B51" s="11" t="str">
        <x:v>소세지</x:v>
      </x:c>
      <x:c r="C51" s="13" t="n">
        <x:v>0</x:v>
      </x:c>
      <x:c r="D51" s="13" t="n">
        <x:v>0</x:v>
      </x:c>
      <x:c r="E51" s="13" t="n">
        <x:v>1</x:v>
      </x:c>
      <x:c r="F51" s="13" t="n">
        <x:v>0</x:v>
      </x:c>
      <x:c r="G51" s="219" t="n">
        <x:v>1</x:v>
      </x:c>
      <x:c r="H51" s="219" t="str">
        <x:f>IF(OR(D51=0,G51=0),"",D51/G51)</x:f>
      </x:c>
      <x:c r="I51" s="11" t="str">
        <x:v>버섯 늪 테마</x:v>
      </x:c>
      <x:c r="J51" s="118" t="str">
        <x:v>버섯 늪 테마·소세지 병아리(단일 100%)</x:v>
      </x:c>
      <x:c r="K51" s="118" t="str"/>
      <x:c r="L51" s="11" t="str">
        <x:v>레시피 추가 또는 드랍 재배치</x:v>
      </x:c>
    </x:row>
    <x:row r="52" ht="36" customHeight="1">
      <x:c r="A52" s="11" t="str">
        <x:v>레시피 미사용</x:v>
      </x:c>
      <x:c r="B52" s="11" t="str">
        <x:v>아몬드</x:v>
      </x:c>
      <x:c r="C52" s="13" t="n">
        <x:v>0</x:v>
      </x:c>
      <x:c r="D52" s="13" t="n">
        <x:v>0</x:v>
      </x:c>
      <x:c r="E52" s="13" t="n">
        <x:v>1</x:v>
      </x:c>
      <x:c r="F52" s="13" t="n">
        <x:v>0</x:v>
      </x:c>
      <x:c r="G52" s="219" t="n">
        <x:v>1</x:v>
      </x:c>
      <x:c r="H52" s="219" t="str">
        <x:f>IF(OR(D52=0,G52=0),"",D52/G52)</x:f>
      </x:c>
      <x:c r="I52" s="11" t="str">
        <x:v>병아리 테마</x:v>
      </x:c>
      <x:c r="J52" s="118" t="str">
        <x:v>병아리 테마·알껍질 병아리(단일 100%)</x:v>
      </x:c>
      <x:c r="K52" s="118" t="str"/>
      <x:c r="L52" s="11" t="str">
        <x:v>레시피 추가 또는 드랍 재배치</x:v>
      </x:c>
    </x:row>
    <x:row r="53" ht="36" customHeight="1">
      <x:c r="A53" s="11" t="str">
        <x:v>레시피 미사용</x:v>
      </x:c>
      <x:c r="B53" s="11" t="str">
        <x:v>참기름</x:v>
      </x:c>
      <x:c r="C53" s="13" t="n">
        <x:v>0</x:v>
      </x:c>
      <x:c r="D53" s="13" t="n">
        <x:v>0</x:v>
      </x:c>
      <x:c r="E53" s="13" t="n">
        <x:v>1</x:v>
      </x:c>
      <x:c r="F53" s="13" t="n">
        <x:v>0</x:v>
      </x:c>
      <x:c r="G53" s="219" t="n">
        <x:v>1</x:v>
      </x:c>
      <x:c r="H53" s="219" t="str">
        <x:f>IF(OR(D53=0,G53=0),"",D53/G53)</x:f>
      </x:c>
      <x:c r="I53" s="11" t="str">
        <x:v>양반집 테마</x:v>
      </x:c>
      <x:c r="J53" s="118" t="str">
        <x:v>양반집 테마·양반 병아리(단일 100%)</x:v>
      </x:c>
      <x:c r="K53" s="118" t="str"/>
      <x:c r="L53" s="11" t="str">
        <x:v>레시피 추가 또는 드랍 재배치</x:v>
      </x:c>
    </x:row>
    <x:row r="54" ht="36" customHeight="1">
      <x:c r="A54" s="11" t="str">
        <x:v>레시피 미사용</x:v>
      </x:c>
      <x:c r="B54" s="11" t="str">
        <x:v>초콜릿칩</x:v>
      </x:c>
      <x:c r="C54" s="13" t="n">
        <x:v>0</x:v>
      </x:c>
      <x:c r="D54" s="13" t="n">
        <x:v>0</x:v>
      </x:c>
      <x:c r="E54" s="13" t="n">
        <x:v>1</x:v>
      </x:c>
      <x:c r="F54" s="13" t="n">
        <x:v>0</x:v>
      </x:c>
      <x:c r="G54" s="219" t="n">
        <x:v>1</x:v>
      </x:c>
      <x:c r="H54" s="219" t="str">
        <x:f>IF(OR(D54=0,G54=0),"",D54/G54)</x:f>
      </x:c>
      <x:c r="I54" s="11" t="str">
        <x:v>옛날 사무실 테마</x:v>
      </x:c>
      <x:c r="J54" s="118" t="str">
        <x:v>옛날 사무실 테마·컴퓨터 병아리(단일 100%)</x:v>
      </x:c>
      <x:c r="K54" s="118" t="str"/>
      <x:c r="L54" s="11" t="str">
        <x:v>레시피 추가 또는 드랍 재배치</x:v>
      </x:c>
    </x:row>
    <x:row r="55" ht="36" customHeight="1">
      <x:c r="A55" s="11" t="str">
        <x:v>레시피 미사용</x:v>
      </x:c>
      <x:c r="B55" s="11" t="str">
        <x:v>커피콩</x:v>
      </x:c>
      <x:c r="C55" s="13" t="n">
        <x:v>0</x:v>
      </x:c>
      <x:c r="D55" s="13" t="n">
        <x:v>0</x:v>
      </x:c>
      <x:c r="E55" s="13" t="n">
        <x:v>1</x:v>
      </x:c>
      <x:c r="F55" s="13" t="n">
        <x:v>0</x:v>
      </x:c>
      <x:c r="G55" s="219" t="n">
        <x:v>1</x:v>
      </x:c>
      <x:c r="H55" s="219" t="str">
        <x:f>IF(OR(D55=0,G55=0),"",D55/G55)</x:f>
      </x:c>
      <x:c r="I55" s="11" t="str">
        <x:v>옛날 사무실 테마</x:v>
      </x:c>
      <x:c r="J55" s="118" t="str">
        <x:v>옛날 사무실 테마·전화기 병아리(단일 100%)</x:v>
      </x:c>
      <x:c r="K55" s="118" t="str"/>
      <x:c r="L55" s="11" t="str">
        <x:v>레시피 추가 또는 드랍 재배치</x:v>
      </x:c>
    </x:row>
    <x:row r="56" ht="36" customHeight="1">
      <x:c r="A56" s="11" t="str">
        <x:v>레시피 미사용</x:v>
      </x:c>
      <x:c r="B56" s="11" t="str">
        <x:v>토마토</x:v>
      </x:c>
      <x:c r="C56" s="13" t="n">
        <x:v>0</x:v>
      </x:c>
      <x:c r="D56" s="13" t="n">
        <x:v>0</x:v>
      </x:c>
      <x:c r="E56" s="13" t="n">
        <x:v>1</x:v>
      </x:c>
      <x:c r="F56" s="13" t="n">
        <x:v>1</x:v>
      </x:c>
      <x:c r="G56" s="219" t="n">
        <x:v>1</x:v>
      </x:c>
      <x:c r="H56" s="219" t="str">
        <x:f>IF(OR(D56=0,G56=0),"",D56/G56)</x:f>
      </x:c>
      <x:c r="I56" s="11" t="str">
        <x:v>이태리 테마</x:v>
      </x:c>
      <x:c r="J56" s="118" t="str">
        <x:v>이태리 테마·피자 병아리(기본 70%), 패스트푸드 테마·감자튀김 병아리(특별 30%)</x:v>
      </x:c>
      <x:c r="K56" s="118" t="str"/>
      <x:c r="L56" s="11" t="str">
        <x:v>레시피 추가 또는 드랍 재배치</x:v>
      </x:c>
    </x:row>
    <x:row r="57" ht="36" customHeight="1">
      <x:c r="A57" s="11" t="str">
        <x:v>레시피 미사용</x:v>
      </x:c>
      <x:c r="B57" s="11" t="str">
        <x:v>고구마</x:v>
      </x:c>
      <x:c r="C57" s="13" t="n">
        <x:v>0</x:v>
      </x:c>
      <x:c r="D57" s="13" t="n">
        <x:v>0</x:v>
      </x:c>
      <x:c r="E57" s="13" t="n">
        <x:v>1</x:v>
      </x:c>
      <x:c r="F57" s="13" t="n">
        <x:v>0</x:v>
      </x:c>
      <x:c r="G57" s="219" t="n">
        <x:v>0.7</x:v>
      </x:c>
      <x:c r="H57" s="219" t="str">
        <x:f>IF(OR(D57=0,G57=0),"",D57/G57)</x:f>
      </x:c>
      <x:c r="I57" s="11" t="str">
        <x:v>오락실 테마</x:v>
      </x:c>
      <x:c r="J57" s="118" t="str">
        <x:v>오락실 테마·헤드셋 병아리(기본 70%)</x:v>
      </x:c>
      <x:c r="K57" s="118" t="str"/>
      <x:c r="L57" s="11" t="str">
        <x:v>레시피 추가 또는 드랍 재배치</x:v>
      </x:c>
    </x:row>
    <x:row r="58" ht="36" customHeight="1">
      <x:c r="A58" s="11" t="str">
        <x:v>레시피 미사용</x:v>
      </x:c>
      <x:c r="B58" s="11" t="str">
        <x:v>렌틸콩</x:v>
      </x:c>
      <x:c r="C58" s="13" t="n">
        <x:v>0</x:v>
      </x:c>
      <x:c r="D58" s="13" t="n">
        <x:v>0</x:v>
      </x:c>
      <x:c r="E58" s="13" t="n">
        <x:v>1</x:v>
      </x:c>
      <x:c r="F58" s="13" t="n">
        <x:v>0</x:v>
      </x:c>
      <x:c r="G58" s="219" t="n">
        <x:v>0.7</x:v>
      </x:c>
      <x:c r="H58" s="219" t="str">
        <x:f>IF(OR(D58=0,G58=0),"",D58/G58)</x:f>
      </x:c>
      <x:c r="I58" s="11" t="str">
        <x:v>우주 점성술 테마</x:v>
      </x:c>
      <x:c r="J58" s="118" t="str">
        <x:v>우주 점성술 테마·망원경 병아리(기본 70%)</x:v>
      </x:c>
      <x:c r="K58" s="118" t="str"/>
      <x:c r="L58" s="11" t="str">
        <x:v>레시피 추가 또는 드랍 재배치</x:v>
      </x:c>
    </x:row>
    <x:row r="59" ht="36" customHeight="1">
      <x:c r="A59" s="11" t="str">
        <x:v>레시피 미사용</x:v>
      </x:c>
      <x:c r="B59" s="11" t="str">
        <x:v>메밀</x:v>
      </x:c>
      <x:c r="C59" s="13" t="n">
        <x:v>0</x:v>
      </x:c>
      <x:c r="D59" s="13" t="n">
        <x:v>0</x:v>
      </x:c>
      <x:c r="E59" s="13" t="n">
        <x:v>1</x:v>
      </x:c>
      <x:c r="F59" s="13" t="n">
        <x:v>0</x:v>
      </x:c>
      <x:c r="G59" s="219" t="n">
        <x:v>0.7</x:v>
      </x:c>
      <x:c r="H59" s="219" t="str">
        <x:f>IF(OR(D59=0,G59=0),"",D59/G59)</x:f>
      </x:c>
      <x:c r="I59" s="11" t="str">
        <x:v>목욕탕 테마</x:v>
      </x:c>
      <x:c r="J59" s="118" t="str">
        <x:v>목욕탕 테마·줄무늬 병아리(기본 70%)</x:v>
      </x:c>
      <x:c r="K59" s="118" t="str"/>
      <x:c r="L59" s="11" t="str">
        <x:v>레시피 추가 또는 드랍 재배치</x:v>
      </x:c>
    </x:row>
    <x:row r="60" ht="36" customHeight="1">
      <x:c r="A60" s="11" t="str">
        <x:v>레시피 미사용</x:v>
      </x:c>
      <x:c r="B60" s="11" t="str">
        <x:v>무</x:v>
      </x:c>
      <x:c r="C60" s="13" t="n">
        <x:v>0</x:v>
      </x:c>
      <x:c r="D60" s="13" t="n">
        <x:v>0</x:v>
      </x:c>
      <x:c r="E60" s="13" t="n">
        <x:v>1</x:v>
      </x:c>
      <x:c r="F60" s="13" t="n">
        <x:v>0</x:v>
      </x:c>
      <x:c r="G60" s="219" t="n">
        <x:v>0.7</x:v>
      </x:c>
      <x:c r="H60" s="219" t="str">
        <x:f>IF(OR(D60=0,G60=0),"",D60/G60)</x:f>
      </x:c>
      <x:c r="I60" s="11" t="str">
        <x:v>연금술 테마</x:v>
      </x:c>
      <x:c r="J60" s="118" t="str">
        <x:v>연금술 테마·만드라고라 병아리(기본 70%)</x:v>
      </x:c>
      <x:c r="K60" s="118" t="str"/>
      <x:c r="L60" s="11" t="str">
        <x:v>레시피 추가 또는 드랍 재배치</x:v>
      </x:c>
    </x:row>
    <x:row r="61" ht="36" customHeight="1">
      <x:c r="A61" s="11" t="str">
        <x:v>레시피 미사용</x:v>
      </x:c>
      <x:c r="B61" s="11" t="str">
        <x:v>성게</x:v>
      </x:c>
      <x:c r="C61" s="13" t="n">
        <x:v>0</x:v>
      </x:c>
      <x:c r="D61" s="13" t="n">
        <x:v>0</x:v>
      </x:c>
      <x:c r="E61" s="13" t="n">
        <x:v>1</x:v>
      </x:c>
      <x:c r="F61" s="13" t="n">
        <x:v>0</x:v>
      </x:c>
      <x:c r="G61" s="219" t="n">
        <x:v>0.7</x:v>
      </x:c>
      <x:c r="H61" s="219" t="str">
        <x:f>IF(OR(D61=0,G61=0),"",D61/G61)</x:f>
      </x:c>
      <x:c r="I61" s="11" t="str">
        <x:v>바닷속 테마</x:v>
      </x:c>
      <x:c r="J61" s="118" t="str">
        <x:v>바닷속 테마·복어 병아리(기본 70%)</x:v>
      </x:c>
      <x:c r="K61" s="118" t="str"/>
      <x:c r="L61" s="11" t="str">
        <x:v>레시피 추가 또는 드랍 재배치</x:v>
      </x:c>
    </x:row>
    <x:row r="62" ht="36" customHeight="1">
      <x:c r="A62" s="11" t="str">
        <x:v>레시피 미사용</x:v>
      </x:c>
      <x:c r="B62" s="11" t="str">
        <x:v>세이지</x:v>
      </x:c>
      <x:c r="C62" s="13" t="n">
        <x:v>0</x:v>
      </x:c>
      <x:c r="D62" s="13" t="n">
        <x:v>0</x:v>
      </x:c>
      <x:c r="E62" s="13" t="n">
        <x:v>1</x:v>
      </x:c>
      <x:c r="F62" s="13" t="n">
        <x:v>0</x:v>
      </x:c>
      <x:c r="G62" s="219" t="n">
        <x:v>0.7</x:v>
      </x:c>
      <x:c r="H62" s="219" t="str">
        <x:f>IF(OR(D62=0,G62=0),"",D62/G62)</x:f>
      </x:c>
      <x:c r="I62" s="11" t="str">
        <x:v>연금술 테마</x:v>
      </x:c>
      <x:c r="J62" s="118" t="str">
        <x:v>연금술 테마·마법사 할아버지 병아리(기본 70%)</x:v>
      </x:c>
      <x:c r="K62" s="118" t="str"/>
      <x:c r="L62" s="11" t="str">
        <x:v>레시피 추가 또는 드랍 재배치</x:v>
      </x:c>
    </x:row>
    <x:row r="63" ht="36" customHeight="1">
      <x:c r="A63" s="11" t="str">
        <x:v>레시피 미사용</x:v>
      </x:c>
      <x:c r="B63" s="11" t="str">
        <x:v>스팸</x:v>
      </x:c>
      <x:c r="C63" s="13" t="n">
        <x:v>0</x:v>
      </x:c>
      <x:c r="D63" s="13" t="n">
        <x:v>0</x:v>
      </x:c>
      <x:c r="E63" s="13" t="n">
        <x:v>1</x:v>
      </x:c>
      <x:c r="F63" s="13" t="n">
        <x:v>0</x:v>
      </x:c>
      <x:c r="G63" s="219" t="n">
        <x:v>0.7</x:v>
      </x:c>
      <x:c r="H63" s="219" t="str">
        <x:f>IF(OR(D63=0,G63=0),"",D63/G63)</x:f>
      </x:c>
      <x:c r="I63" s="11" t="str">
        <x:v>오락실 테마</x:v>
      </x:c>
      <x:c r="J63" s="118" t="str">
        <x:v>오락실 테마·게임 마스터 병아리(기본 70%)</x:v>
      </x:c>
      <x:c r="K63" s="118" t="str"/>
      <x:c r="L63" s="11" t="str">
        <x:v>레시피 추가 또는 드랍 재배치</x:v>
      </x:c>
    </x:row>
    <x:row r="64" ht="36" customHeight="1">
      <x:c r="A64" s="11" t="str">
        <x:v>레시피 미사용</x:v>
      </x:c>
      <x:c r="B64" s="11" t="str">
        <x:v>시리얼</x:v>
      </x:c>
      <x:c r="C64" s="13" t="n">
        <x:v>0</x:v>
      </x:c>
      <x:c r="D64" s="13" t="n">
        <x:v>0</x:v>
      </x:c>
      <x:c r="E64" s="13" t="n">
        <x:v>1</x:v>
      </x:c>
      <x:c r="F64" s="13" t="n">
        <x:v>0</x:v>
      </x:c>
      <x:c r="G64" s="219" t="n">
        <x:v>0.7</x:v>
      </x:c>
      <x:c r="H64" s="219" t="str">
        <x:f>IF(OR(D64=0,G64=0),"",D64/G64)</x:f>
      </x:c>
      <x:c r="I64" s="11" t="str">
        <x:v>옛날 사무실 테마</x:v>
      </x:c>
      <x:c r="J64" s="118" t="str">
        <x:v>옛날 사무실 테마·회사원 병아리(기본 70%)</x:v>
      </x:c>
      <x:c r="K64" s="118" t="str"/>
      <x:c r="L64" s="11" t="str">
        <x:v>레시피 추가 또는 드랍 재배치</x:v>
      </x:c>
    </x:row>
    <x:row r="65" ht="36" customHeight="1">
      <x:c r="A65" s="11" t="str">
        <x:v>레시피 미사용</x:v>
      </x:c>
      <x:c r="B65" s="11" t="str">
        <x:v>조개</x:v>
      </x:c>
      <x:c r="C65" s="13" t="n">
        <x:v>0</x:v>
      </x:c>
      <x:c r="D65" s="13" t="n">
        <x:v>0</x:v>
      </x:c>
      <x:c r="E65" s="13" t="n">
        <x:v>1</x:v>
      </x:c>
      <x:c r="F65" s="13" t="n">
        <x:v>0</x:v>
      </x:c>
      <x:c r="G65" s="219" t="n">
        <x:v>0.7</x:v>
      </x:c>
      <x:c r="H65" s="219" t="str">
        <x:f>IF(OR(D65=0,G65=0),"",D65/G65)</x:f>
      </x:c>
      <x:c r="I65" s="11" t="str">
        <x:v>바닷속 테마</x:v>
      </x:c>
      <x:c r="J65" s="118" t="str">
        <x:v>바닷속 테마·열대어 병아리(기본 70%)</x:v>
      </x:c>
      <x:c r="K65" s="118" t="str"/>
      <x:c r="L65" s="11" t="str">
        <x:v>레시피 추가 또는 드랍 재배치</x:v>
      </x:c>
    </x:row>
    <x:row r="66" ht="36" customHeight="1">
      <x:c r="A66" s="11" t="str">
        <x:v>레시피 미사용</x:v>
      </x:c>
      <x:c r="B66" s="11" t="str">
        <x:v>캐비어</x:v>
      </x:c>
      <x:c r="C66" s="13" t="n">
        <x:v>0</x:v>
      </x:c>
      <x:c r="D66" s="13" t="n">
        <x:v>0</x:v>
      </x:c>
      <x:c r="E66" s="13" t="n">
        <x:v>1</x:v>
      </x:c>
      <x:c r="F66" s="13" t="n">
        <x:v>0</x:v>
      </x:c>
      <x:c r="G66" s="219" t="n">
        <x:v>0.7</x:v>
      </x:c>
      <x:c r="H66" s="219" t="str">
        <x:f>IF(OR(D66=0,G66=0),"",D66/G66)</x:f>
      </x:c>
      <x:c r="I66" s="11" t="str">
        <x:v>바닷속 테마</x:v>
      </x:c>
      <x:c r="J66" s="118" t="str">
        <x:v>바닷속 테마·상어 병아리(기본 70%)</x:v>
      </x:c>
      <x:c r="K66" s="118" t="str"/>
      <x:c r="L66" s="11" t="str">
        <x:v>레시피 추가 또는 드랍 재배치</x:v>
      </x:c>
    </x:row>
    <x:row r="67" ht="36" customHeight="1">
      <x:c r="A67" s="11" t="str">
        <x:v>레시피 미사용</x:v>
      </x:c>
      <x:c r="B67" s="11" t="str">
        <x:v>탄산</x:v>
      </x:c>
      <x:c r="C67" s="13" t="n">
        <x:v>0</x:v>
      </x:c>
      <x:c r="D67" s="13" t="n">
        <x:v>0</x:v>
      </x:c>
      <x:c r="E67" s="13" t="n">
        <x:v>1</x:v>
      </x:c>
      <x:c r="F67" s="13" t="n">
        <x:v>0</x:v>
      </x:c>
      <x:c r="G67" s="219" t="n">
        <x:v>0.7</x:v>
      </x:c>
      <x:c r="H67" s="219" t="str">
        <x:f>IF(OR(D67=0,G67=0),"",D67/G67)</x:f>
      </x:c>
      <x:c r="I67" s="11" t="str">
        <x:v>패스트푸드 테마</x:v>
      </x:c>
      <x:c r="J67" s="118" t="str">
        <x:v>패스트푸드 테마·콜라 병아리(기본 70%)</x:v>
      </x:c>
      <x:c r="K67" s="118" t="str"/>
      <x:c r="L67" s="11" t="str">
        <x:v>레시피 추가 또는 드랍 재배치</x:v>
      </x:c>
    </x:row>
    <x:row r="68" ht="36" customHeight="1">
      <x:c r="A68" s="11" t="str">
        <x:v>레시피 미사용</x:v>
      </x:c>
      <x:c r="B68" s="11" t="str">
        <x:v>통겨자</x:v>
      </x:c>
      <x:c r="C68" s="13" t="n">
        <x:v>0</x:v>
      </x:c>
      <x:c r="D68" s="13" t="n">
        <x:v>0</x:v>
      </x:c>
      <x:c r="E68" s="13" t="n">
        <x:v>1</x:v>
      </x:c>
      <x:c r="F68" s="13" t="n">
        <x:v>0</x:v>
      </x:c>
      <x:c r="G68" s="219" t="n">
        <x:v>0.7</x:v>
      </x:c>
      <x:c r="H68" s="219" t="str">
        <x:f>IF(OR(D68=0,G68=0),"",D68/G68)</x:f>
      </x:c>
      <x:c r="I68" s="11" t="str">
        <x:v>해적선 테마</x:v>
      </x:c>
      <x:c r="J68" s="118" t="str">
        <x:v>해적선 테마·폭탄 병아리(기본 70%)</x:v>
      </x:c>
      <x:c r="K68" s="118" t="str"/>
      <x:c r="L68" s="11" t="str">
        <x:v>레시피 추가 또는 드랍 재배치</x:v>
      </x:c>
    </x:row>
    <x:row r="69" ht="36" customHeight="1">
      <x:c r="A69" s="11" t="str">
        <x:v>레시피 미사용</x:v>
      </x:c>
      <x:c r="B69" s="11" t="str">
        <x:v>파마산가루</x:v>
      </x:c>
      <x:c r="C69" s="13" t="n">
        <x:v>0</x:v>
      </x:c>
      <x:c r="D69" s="13" t="n">
        <x:v>0</x:v>
      </x:c>
      <x:c r="E69" s="13" t="n">
        <x:v>1</x:v>
      </x:c>
      <x:c r="F69" s="13" t="n">
        <x:v>0</x:v>
      </x:c>
      <x:c r="G69" s="219" t="n">
        <x:v>0.7</x:v>
      </x:c>
      <x:c r="H69" s="219" t="str">
        <x:f>IF(OR(D69=0,G69=0),"",D69/G69)</x:f>
      </x:c>
      <x:c r="I69" s="11" t="str">
        <x:v>학교 테마</x:v>
      </x:c>
      <x:c r="J69" s="118" t="str">
        <x:v>학교 테마·연필깎이 병아리(기본 70%)</x:v>
      </x:c>
      <x:c r="K69" s="118" t="str"/>
      <x:c r="L69" s="11" t="str">
        <x:v>레시피 추가 또는 드랍 재배치</x:v>
      </x:c>
    </x:row>
    <x:row r="70" ht="36" customHeight="1">
      <x:c r="A70" s="11" t="str">
        <x:v>레시피 미사용</x:v>
      </x:c>
      <x:c r="B70" s="11" t="str">
        <x:v>파스타면</x:v>
      </x:c>
      <x:c r="C70" s="13" t="n">
        <x:v>0</x:v>
      </x:c>
      <x:c r="D70" s="13" t="n">
        <x:v>0</x:v>
      </x:c>
      <x:c r="E70" s="13" t="n">
        <x:v>1</x:v>
      </x:c>
      <x:c r="F70" s="13" t="n">
        <x:v>0</x:v>
      </x:c>
      <x:c r="G70" s="219" t="n">
        <x:v>0.7</x:v>
      </x:c>
      <x:c r="H70" s="219" t="str">
        <x:f>IF(OR(D70=0,G70=0),"",D70/G70)</x:f>
      </x:c>
      <x:c r="I70" s="11" t="str">
        <x:v>이태리 테마</x:v>
      </x:c>
      <x:c r="J70" s="118" t="str">
        <x:v>이태리 테마·파스타 병아리(기본 70%)</x:v>
      </x:c>
      <x:c r="K70" s="118" t="str"/>
      <x:c r="L70" s="11" t="str">
        <x:v>레시피 추가 또는 드랍 재배치</x:v>
      </x:c>
    </x:row>
    <x:row r="71" ht="36" customHeight="1">
      <x:c r="A71" s="11" t="str">
        <x:v>레시피 미사용</x:v>
      </x:c>
      <x:c r="B71" s="11" t="str">
        <x:v>파인애플</x:v>
      </x:c>
      <x:c r="C71" s="13" t="n">
        <x:v>0</x:v>
      </x:c>
      <x:c r="D71" s="13" t="n">
        <x:v>0</x:v>
      </x:c>
      <x:c r="E71" s="13" t="n">
        <x:v>1</x:v>
      </x:c>
      <x:c r="F71" s="13" t="n">
        <x:v>0</x:v>
      </x:c>
      <x:c r="G71" s="219" t="n">
        <x:v>0.7</x:v>
      </x:c>
      <x:c r="H71" s="219" t="str">
        <x:f>IF(OR(D71=0,G71=0),"",D71/G71)</x:f>
      </x:c>
      <x:c r="I71" s="11" t="str">
        <x:v>해적선 테마</x:v>
      </x:c>
      <x:c r="J71" s="118" t="str">
        <x:v>해적선 테마·앵무새 병아리(기본 70%)</x:v>
      </x:c>
      <x:c r="K71" s="118" t="str"/>
      <x:c r="L71" s="11" t="str">
        <x:v>레시피 추가 또는 드랍 재배치</x:v>
      </x:c>
    </x:row>
    <x:row r="72" ht="36" customHeight="1">
      <x:c r="A72" s="11" t="str">
        <x:v>레시피 미사용</x:v>
      </x:c>
      <x:c r="B72" s="11" t="str">
        <x:v>팔각</x:v>
      </x:c>
      <x:c r="C72" s="13" t="n">
        <x:v>0</x:v>
      </x:c>
      <x:c r="D72" s="13" t="n">
        <x:v>0</x:v>
      </x:c>
      <x:c r="E72" s="13" t="n">
        <x:v>1</x:v>
      </x:c>
      <x:c r="F72" s="13" t="n">
        <x:v>0</x:v>
      </x:c>
      <x:c r="G72" s="219" t="n">
        <x:v>0.7</x:v>
      </x:c>
      <x:c r="H72" s="219" t="str">
        <x:f>IF(OR(D72=0,G72=0),"",D72/G72)</x:f>
      </x:c>
      <x:c r="I72" s="11" t="str">
        <x:v>우주 점성술 테마</x:v>
      </x:c>
      <x:c r="J72" s="118" t="str">
        <x:v>우주 점성술 테마·대마법사 병아리(기본 70%)</x:v>
      </x:c>
      <x:c r="K72" s="118" t="str"/>
      <x:c r="L72" s="11" t="str">
        <x:v>레시피 추가 또는 드랍 재배치</x:v>
      </x:c>
    </x:row>
    <x:row r="73" ht="36" customHeight="1">
      <x:c r="A73" s="11" t="str">
        <x:v>레시피 미사용</x:v>
      </x:c>
      <x:c r="B73" s="11" t="str">
        <x:v>호박</x:v>
      </x:c>
      <x:c r="C73" s="13" t="n">
        <x:v>0</x:v>
      </x:c>
      <x:c r="D73" s="13" t="n">
        <x:v>0</x:v>
      </x:c>
      <x:c r="E73" s="13" t="n">
        <x:v>1</x:v>
      </x:c>
      <x:c r="F73" s="13" t="n">
        <x:v>0</x:v>
      </x:c>
      <x:c r="G73" s="219" t="n">
        <x:v>0.7</x:v>
      </x:c>
      <x:c r="H73" s="219" t="str">
        <x:f>IF(OR(D73=0,G73=0),"",D73/G73)</x:f>
      </x:c>
      <x:c r="I73" s="11" t="str">
        <x:v>무덤 테마</x:v>
      </x:c>
      <x:c r="J73" s="118" t="str">
        <x:v>무덤 테마·촛불 병아리(기본 70%)</x:v>
      </x:c>
      <x:c r="K73" s="118" t="str"/>
      <x:c r="L73" s="11" t="str">
        <x:v>레시피 추가 또는 드랍 재배치</x:v>
      </x:c>
    </x:row>
    <x:row r="74" ht="36" customHeight="1">
      <x:c r="A74" s="11" t="str">
        <x:v>레시피 미사용</x:v>
      </x:c>
      <x:c r="B74" s="11" t="str">
        <x:v>가쓰오부시</x:v>
      </x:c>
      <x:c r="C74" s="13" t="n">
        <x:v>0</x:v>
      </x:c>
      <x:c r="D74" s="13" t="n">
        <x:v>0</x:v>
      </x:c>
      <x:c r="E74" s="13" t="n">
        <x:v>0</x:v>
      </x:c>
      <x:c r="F74" s="13" t="n">
        <x:v>1</x:v>
      </x:c>
      <x:c r="G74" s="219" t="n">
        <x:v>0.3</x:v>
      </x:c>
      <x:c r="H74" s="219" t="str">
        <x:f>IF(OR(D74=0,G74=0),"",D74/G74)</x:f>
      </x:c>
      <x:c r="I74" s="11" t="str">
        <x:v>학교 테마</x:v>
      </x:c>
      <x:c r="J74" s="118" t="str">
        <x:v>학교 테마·연필깎이 병아리(특별 30%)</x:v>
      </x:c>
      <x:c r="K74" s="118" t="str"/>
      <x:c r="L74" s="11" t="str">
        <x:v>레시피 추가 또는 드랍 재배치</x:v>
      </x:c>
    </x:row>
    <x:row r="75" ht="36" customHeight="1">
      <x:c r="A75" s="11" t="str">
        <x:v>레시피 미사용</x:v>
      </x:c>
      <x:c r="B75" s="11" t="str">
        <x:v>검은 쿠키</x:v>
      </x:c>
      <x:c r="C75" s="13" t="n">
        <x:v>0</x:v>
      </x:c>
      <x:c r="D75" s="13" t="n">
        <x:v>0</x:v>
      </x:c>
      <x:c r="E75" s="13" t="n">
        <x:v>0</x:v>
      </x:c>
      <x:c r="F75" s="13" t="n">
        <x:v>1</x:v>
      </x:c>
      <x:c r="G75" s="219" t="n">
        <x:v>0.3</x:v>
      </x:c>
      <x:c r="H75" s="219" t="str">
        <x:f>IF(OR(D75=0,G75=0),"",D75/G75)</x:f>
      </x:c>
      <x:c r="I75" s="11" t="str">
        <x:v>톨게이트 테마</x:v>
      </x:c>
      <x:c r="J75" s="118" t="str">
        <x:v>톨게이트 테마·맨홀뚜껑 병아리(특별 30%)</x:v>
      </x:c>
      <x:c r="K75" s="118" t="str"/>
      <x:c r="L75" s="11" t="str">
        <x:v>레시피 추가 또는 드랍 재배치</x:v>
      </x:c>
    </x:row>
    <x:row r="76" ht="36" customHeight="1">
      <x:c r="A76" s="11" t="str">
        <x:v>레시피 미사용</x:v>
      </x:c>
      <x:c r="B76" s="11" t="str">
        <x:v>김</x:v>
      </x:c>
      <x:c r="C76" s="13" t="n">
        <x:v>0</x:v>
      </x:c>
      <x:c r="D76" s="13" t="n">
        <x:v>0</x:v>
      </x:c>
      <x:c r="E76" s="13" t="n">
        <x:v>0</x:v>
      </x:c>
      <x:c r="F76" s="13" t="n">
        <x:v>1</x:v>
      </x:c>
      <x:c r="G76" s="219" t="n">
        <x:v>0.3</x:v>
      </x:c>
      <x:c r="H76" s="219" t="str">
        <x:f>IF(OR(D76=0,G76=0),"",D76/G76)</x:f>
      </x:c>
      <x:c r="I76" s="11" t="str">
        <x:v>바닷속 테마</x:v>
      </x:c>
      <x:c r="J76" s="118" t="str">
        <x:v>바닷속 테마·열대어 병아리(특별 30%)</x:v>
      </x:c>
      <x:c r="K76" s="118" t="str"/>
      <x:c r="L76" s="11" t="str">
        <x:v>레시피 추가 또는 드랍 재배치</x:v>
      </x:c>
    </x:row>
    <x:row r="77" ht="36" customHeight="1">
      <x:c r="A77" s="11" t="str">
        <x:v>레시피 미사용</x:v>
      </x:c>
      <x:c r="B77" s="11" t="str">
        <x:v>라임</x:v>
      </x:c>
      <x:c r="C77" s="13" t="n">
        <x:v>0</x:v>
      </x:c>
      <x:c r="D77" s="13" t="n">
        <x:v>0</x:v>
      </x:c>
      <x:c r="E77" s="13" t="n">
        <x:v>0</x:v>
      </x:c>
      <x:c r="F77" s="13" t="n">
        <x:v>1</x:v>
      </x:c>
      <x:c r="G77" s="219" t="n">
        <x:v>0.3</x:v>
      </x:c>
      <x:c r="H77" s="219" t="str">
        <x:f>IF(OR(D77=0,G77=0),"",D77/G77)</x:f>
      </x:c>
      <x:c r="I77" s="11" t="str">
        <x:v>해적선 테마</x:v>
      </x:c>
      <x:c r="J77" s="118" t="str">
        <x:v>해적선 테마·후크선장 병아리(특별 30%)</x:v>
      </x:c>
      <x:c r="K77" s="118" t="str"/>
      <x:c r="L77" s="11" t="str">
        <x:v>레시피 추가 또는 드랍 재배치</x:v>
      </x:c>
    </x:row>
    <x:row r="78" ht="36" customHeight="1">
      <x:c r="A78" s="11" t="str">
        <x:v>레시피 미사용</x:v>
      </x:c>
      <x:c r="B78" s="11" t="str">
        <x:v>마시멜로우</x:v>
      </x:c>
      <x:c r="C78" s="13" t="n">
        <x:v>0</x:v>
      </x:c>
      <x:c r="D78" s="13" t="n">
        <x:v>0</x:v>
      </x:c>
      <x:c r="E78" s="13" t="n">
        <x:v>0</x:v>
      </x:c>
      <x:c r="F78" s="13" t="n">
        <x:v>1</x:v>
      </x:c>
      <x:c r="G78" s="219" t="n">
        <x:v>0.3</x:v>
      </x:c>
      <x:c r="H78" s="219" t="str">
        <x:f>IF(OR(D78=0,G78=0),"",D78/G78)</x:f>
      </x:c>
      <x:c r="I78" s="11" t="str">
        <x:v>캠핑 테마</x:v>
      </x:c>
      <x:c r="J78" s="118" t="str">
        <x:v>캠핑 테마·캠핑 토스트 병아리(특별 30%)</x:v>
      </x:c>
      <x:c r="K78" s="118" t="str"/>
      <x:c r="L78" s="11" t="str">
        <x:v>레시피 추가 또는 드랍 재배치</x:v>
      </x:c>
    </x:row>
    <x:row r="79" ht="36" customHeight="1">
      <x:c r="A79" s="11" t="str">
        <x:v>레시피 미사용</x:v>
      </x:c>
      <x:c r="B79" s="11" t="str">
        <x:v>망고</x:v>
      </x:c>
      <x:c r="C79" s="13" t="n">
        <x:v>0</x:v>
      </x:c>
      <x:c r="D79" s="13" t="n">
        <x:v>0</x:v>
      </x:c>
      <x:c r="E79" s="13" t="n">
        <x:v>0</x:v>
      </x:c>
      <x:c r="F79" s="13" t="n">
        <x:v>1</x:v>
      </x:c>
      <x:c r="G79" s="219" t="n">
        <x:v>0.3</x:v>
      </x:c>
      <x:c r="H79" s="219" t="str">
        <x:f>IF(OR(D79=0,G79=0),"",D79/G79)</x:f>
      </x:c>
      <x:c r="I79" s="11" t="str">
        <x:v>해적선 테마</x:v>
      </x:c>
      <x:c r="J79" s="118" t="str">
        <x:v>해적선 테마·앵무새 병아리(특별 30%)</x:v>
      </x:c>
      <x:c r="K79" s="118" t="str"/>
      <x:c r="L79" s="11" t="str">
        <x:v>레시피 추가 또는 드랍 재배치</x:v>
      </x:c>
    </x:row>
    <x:row r="80" ht="36" customHeight="1">
      <x:c r="A80" s="11" t="str">
        <x:v>레시피 미사용</x:v>
      </x:c>
      <x:c r="B80" s="11" t="str">
        <x:v>미트볼</x:v>
      </x:c>
      <x:c r="C80" s="13" t="n">
        <x:v>0</x:v>
      </x:c>
      <x:c r="D80" s="13" t="n">
        <x:v>0</x:v>
      </x:c>
      <x:c r="E80" s="13" t="n">
        <x:v>0</x:v>
      </x:c>
      <x:c r="F80" s="13" t="n">
        <x:v>1</x:v>
      </x:c>
      <x:c r="G80" s="219" t="n">
        <x:v>0.3</x:v>
      </x:c>
      <x:c r="H80" s="219" t="str">
        <x:f>IF(OR(D80=0,G80=0),"",D80/G80)</x:f>
      </x:c>
      <x:c r="I80" s="11" t="str">
        <x:v>오락실 테마</x:v>
      </x:c>
      <x:c r="J80" s="118" t="str">
        <x:v>오락실 테마·게임 마스터 병아리(특별 30%)</x:v>
      </x:c>
      <x:c r="K80" s="118" t="str"/>
      <x:c r="L80" s="11" t="str">
        <x:v>레시피 추가 또는 드랍 재배치</x:v>
      </x:c>
    </x:row>
    <x:row r="81" ht="36" customHeight="1">
      <x:c r="A81" s="11" t="str">
        <x:v>레시피 미사용</x:v>
      </x:c>
      <x:c r="B81" s="11" t="str">
        <x:v>바나나</x:v>
      </x:c>
      <x:c r="C81" s="13" t="n">
        <x:v>0</x:v>
      </x:c>
      <x:c r="D81" s="13" t="n">
        <x:v>0</x:v>
      </x:c>
      <x:c r="E81" s="13" t="n">
        <x:v>0</x:v>
      </x:c>
      <x:c r="F81" s="13" t="n">
        <x:v>1</x:v>
      </x:c>
      <x:c r="G81" s="219" t="n">
        <x:v>0.3</x:v>
      </x:c>
      <x:c r="H81" s="219" t="str">
        <x:f>IF(OR(D81=0,G81=0),"",D81/G81)</x:f>
      </x:c>
      <x:c r="I81" s="11" t="str">
        <x:v>목욕탕 테마</x:v>
      </x:c>
      <x:c r="J81" s="118" t="str">
        <x:v>목욕탕 테마·바나나 병아리(특별 30%)</x:v>
      </x:c>
      <x:c r="K81" s="118" t="str"/>
      <x:c r="L81" s="11" t="str">
        <x:v>레시피 추가 또는 드랍 재배치</x:v>
      </x:c>
    </x:row>
    <x:row r="82" ht="36" customHeight="1">
      <x:c r="A82" s="11" t="str">
        <x:v>레시피 미사용</x:v>
      </x:c>
      <x:c r="B82" s="11" t="str">
        <x:v>빵가루</x:v>
      </x:c>
      <x:c r="C82" s="13" t="n">
        <x:v>0</x:v>
      </x:c>
      <x:c r="D82" s="13" t="n">
        <x:v>0</x:v>
      </x:c>
      <x:c r="E82" s="13" t="n">
        <x:v>0</x:v>
      </x:c>
      <x:c r="F82" s="13" t="n">
        <x:v>1</x:v>
      </x:c>
      <x:c r="G82" s="219" t="n">
        <x:v>0.3</x:v>
      </x:c>
      <x:c r="H82" s="219" t="str">
        <x:f>IF(OR(D82=0,G82=0),"",D82/G82)</x:f>
      </x:c>
      <x:c r="I82" s="11" t="str">
        <x:v>식빵 테마</x:v>
      </x:c>
      <x:c r="J82" s="118" t="str">
        <x:v>식빵 테마·식빵 병아리(특별 30%)</x:v>
      </x:c>
      <x:c r="K82" s="118" t="str"/>
      <x:c r="L82" s="11" t="str">
        <x:v>레시피 추가 또는 드랍 재배치</x:v>
      </x:c>
    </x:row>
    <x:row r="83" ht="36" customHeight="1">
      <x:c r="A83" s="11" t="str">
        <x:v>레시피 미사용</x:v>
      </x:c>
      <x:c r="B83" s="11" t="str">
        <x:v>스타후르츠</x:v>
      </x:c>
      <x:c r="C83" s="13" t="n">
        <x:v>0</x:v>
      </x:c>
      <x:c r="D83" s="13" t="n">
        <x:v>0</x:v>
      </x:c>
      <x:c r="E83" s="13" t="n">
        <x:v>0</x:v>
      </x:c>
      <x:c r="F83" s="13" t="n">
        <x:v>1</x:v>
      </x:c>
      <x:c r="G83" s="219" t="n">
        <x:v>0.3</x:v>
      </x:c>
      <x:c r="H83" s="219" t="str">
        <x:f>IF(OR(D83=0,G83=0),"",D83/G83)</x:f>
      </x:c>
      <x:c r="I83" s="11" t="str">
        <x:v>우주 점성술 테마</x:v>
      </x:c>
      <x:c r="J83" s="118" t="str">
        <x:v>우주 점성술 테마·망원경 병아리(특별 30%)</x:v>
      </x:c>
      <x:c r="K83" s="118" t="str"/>
      <x:c r="L83" s="11" t="str">
        <x:v>레시피 추가 또는 드랍 재배치</x:v>
      </x:c>
    </x:row>
    <x:row r="84" ht="36" customHeight="1">
      <x:c r="A84" s="11" t="str">
        <x:v>레시피 미사용</x:v>
      </x:c>
      <x:c r="B84" s="11" t="str">
        <x:v>엘더베리</x:v>
      </x:c>
      <x:c r="C84" s="13" t="n">
        <x:v>0</x:v>
      </x:c>
      <x:c r="D84" s="13" t="n">
        <x:v>0</x:v>
      </x:c>
      <x:c r="E84" s="13" t="n">
        <x:v>0</x:v>
      </x:c>
      <x:c r="F84" s="13" t="n">
        <x:v>1</x:v>
      </x:c>
      <x:c r="G84" s="219" t="n">
        <x:v>0.3</x:v>
      </x:c>
      <x:c r="H84" s="219" t="str">
        <x:f>IF(OR(D84=0,G84=0),"",D84/G84)</x:f>
      </x:c>
      <x:c r="I84" s="11" t="str">
        <x:v>연금술 테마</x:v>
      </x:c>
      <x:c r="J84" s="118" t="str">
        <x:v>연금술 테마·마법사 할아버지 병아리(특별 30%)</x:v>
      </x:c>
      <x:c r="K84" s="118" t="str"/>
      <x:c r="L84" s="11" t="str">
        <x:v>레시피 추가 또는 드랍 재배치</x:v>
      </x:c>
    </x:row>
    <x:row r="85" ht="36" customHeight="1">
      <x:c r="A85" s="11" t="str">
        <x:v>레시피 미사용</x:v>
      </x:c>
      <x:c r="B85" s="11" t="str">
        <x:v>연근</x:v>
      </x:c>
      <x:c r="C85" s="13" t="n">
        <x:v>0</x:v>
      </x:c>
      <x:c r="D85" s="13" t="n">
        <x:v>0</x:v>
      </x:c>
      <x:c r="E85" s="13" t="n">
        <x:v>0</x:v>
      </x:c>
      <x:c r="F85" s="13" t="n">
        <x:v>1</x:v>
      </x:c>
      <x:c r="G85" s="219" t="n">
        <x:v>0.3</x:v>
      </x:c>
      <x:c r="H85" s="219" t="str">
        <x:f>IF(OR(D85=0,G85=0),"",D85/G85)</x:f>
      </x:c>
      <x:c r="I85" s="11" t="str">
        <x:v>버섯 늪 테마</x:v>
      </x:c>
      <x:c r="J85" s="118" t="str">
        <x:v>버섯 늪 테마·개구리 병아리(특별 30%)</x:v>
      </x:c>
      <x:c r="K85" s="118" t="str"/>
      <x:c r="L85" s="11" t="str">
        <x:v>레시피 추가 또는 드랍 재배치</x:v>
      </x:c>
    </x:row>
    <x:row r="86" ht="36" customHeight="1">
      <x:c r="A86" s="11" t="str">
        <x:v>레시피 미사용</x:v>
      </x:c>
      <x:c r="B86" s="11" t="str">
        <x:v>오징어먹물</x:v>
      </x:c>
      <x:c r="C86" s="13" t="n">
        <x:v>0</x:v>
      </x:c>
      <x:c r="D86" s="13" t="n">
        <x:v>0</x:v>
      </x:c>
      <x:c r="E86" s="13" t="n">
        <x:v>0</x:v>
      </x:c>
      <x:c r="F86" s="13" t="n">
        <x:v>1</x:v>
      </x:c>
      <x:c r="G86" s="219" t="n">
        <x:v>0.3</x:v>
      </x:c>
      <x:c r="H86" s="219" t="str">
        <x:f>IF(OR(D86=0,G86=0),"",D86/G86)</x:f>
      </x:c>
      <x:c r="I86" s="11" t="str">
        <x:v>바닷속 테마</x:v>
      </x:c>
      <x:c r="J86" s="118" t="str">
        <x:v>바닷속 테마·복어 병아리(특별 30%)</x:v>
      </x:c>
      <x:c r="K86" s="118" t="str"/>
      <x:c r="L86" s="11" t="str">
        <x:v>레시피 추가 또는 드랍 재배치</x:v>
      </x:c>
    </x:row>
    <x:row r="87" ht="36" customHeight="1">
      <x:c r="A87" s="11" t="str">
        <x:v>레시피 미사용</x:v>
      </x:c>
      <x:c r="B87" s="11" t="str">
        <x:v>올리브</x:v>
      </x:c>
      <x:c r="C87" s="13" t="n">
        <x:v>0</x:v>
      </x:c>
      <x:c r="D87" s="13" t="n">
        <x:v>0</x:v>
      </x:c>
      <x:c r="E87" s="13" t="n">
        <x:v>0</x:v>
      </x:c>
      <x:c r="F87" s="13" t="n">
        <x:v>1</x:v>
      </x:c>
      <x:c r="G87" s="219" t="n">
        <x:v>0.3</x:v>
      </x:c>
      <x:c r="H87" s="219" t="str">
        <x:f>IF(OR(D87=0,G87=0),"",D87/G87)</x:f>
      </x:c>
      <x:c r="I87" s="11" t="str">
        <x:v>이태리 테마</x:v>
      </x:c>
      <x:c r="J87" s="118" t="str">
        <x:v>이태리 테마·이탈리아 채소 병아리(특별 30%)</x:v>
      </x:c>
      <x:c r="K87" s="118" t="str"/>
      <x:c r="L87" s="11" t="str">
        <x:v>레시피 추가 또는 드랍 재배치</x:v>
      </x:c>
    </x:row>
    <x:row r="88" ht="36" customHeight="1">
      <x:c r="A88" s="11" t="str">
        <x:v>레시피 미사용</x:v>
      </x:c>
      <x:c r="B88" s="11" t="str">
        <x:v>육수</x:v>
      </x:c>
      <x:c r="C88" s="13" t="n">
        <x:v>0</x:v>
      </x:c>
      <x:c r="D88" s="13" t="n">
        <x:v>0</x:v>
      </x:c>
      <x:c r="E88" s="13" t="n">
        <x:v>0</x:v>
      </x:c>
      <x:c r="F88" s="13" t="n">
        <x:v>1</x:v>
      </x:c>
      <x:c r="G88" s="219" t="n">
        <x:v>0.3</x:v>
      </x:c>
      <x:c r="H88" s="219" t="str">
        <x:f>IF(OR(D88=0,G88=0),"",D88/G88)</x:f>
      </x:c>
      <x:c r="I88" s="11" t="str">
        <x:v>이태리 테마</x:v>
      </x:c>
      <x:c r="J88" s="118" t="str">
        <x:v>이태리 테마·파스타 병아리(특별 30%)</x:v>
      </x:c>
      <x:c r="K88" s="118" t="str"/>
      <x:c r="L88" s="11" t="str">
        <x:v>레시피 추가 또는 드랍 재배치</x:v>
      </x:c>
    </x:row>
    <x:row r="89" ht="36" customHeight="1">
      <x:c r="A89" s="11" t="str">
        <x:v>레시피 미사용</x:v>
      </x:c>
      <x:c r="B89" s="11" t="str">
        <x:v>인삼</x:v>
      </x:c>
      <x:c r="C89" s="13" t="n">
        <x:v>0</x:v>
      </x:c>
      <x:c r="D89" s="13" t="n">
        <x:v>0</x:v>
      </x:c>
      <x:c r="E89" s="13" t="n">
        <x:v>0</x:v>
      </x:c>
      <x:c r="F89" s="13" t="n">
        <x:v>1</x:v>
      </x:c>
      <x:c r="G89" s="219" t="n">
        <x:v>0.3</x:v>
      </x:c>
      <x:c r="H89" s="219" t="str">
        <x:f>IF(OR(D89=0,G89=0),"",D89/G89)</x:f>
      </x:c>
      <x:c r="I89" s="11" t="str">
        <x:v>연금술 테마</x:v>
      </x:c>
      <x:c r="J89" s="118" t="str">
        <x:v>연금술 테마·만드라고라 병아리(특별 30%)</x:v>
      </x:c>
      <x:c r="K89" s="118" t="str"/>
      <x:c r="L89" s="11" t="str">
        <x:v>레시피 추가 또는 드랍 재배치</x:v>
      </x:c>
    </x:row>
    <x:row r="90" ht="36" customHeight="1">
      <x:c r="A90" s="11" t="str">
        <x:v>레시피 미사용</x:v>
      </x:c>
      <x:c r="B90" s="11" t="str">
        <x:v>젤라틴</x:v>
      </x:c>
      <x:c r="C90" s="13" t="n">
        <x:v>0</x:v>
      </x:c>
      <x:c r="D90" s="13" t="n">
        <x:v>0</x:v>
      </x:c>
      <x:c r="E90" s="13" t="n">
        <x:v>0</x:v>
      </x:c>
      <x:c r="F90" s="13" t="n">
        <x:v>1</x:v>
      </x:c>
      <x:c r="G90" s="219" t="n">
        <x:v>0.3</x:v>
      </x:c>
      <x:c r="H90" s="219" t="str">
        <x:f>IF(OR(D90=0,G90=0),"",D90/G90)</x:f>
      </x:c>
      <x:c r="I90" s="11" t="str">
        <x:v>우주 점성술 테마</x:v>
      </x:c>
      <x:c r="J90" s="118" t="str">
        <x:v>우주 점성술 테마·외계인 병아리(특별 30%)</x:v>
      </x:c>
      <x:c r="K90" s="118" t="str"/>
      <x:c r="L90" s="11" t="str">
        <x:v>레시피 추가 또는 드랍 재배치</x:v>
      </x:c>
    </x:row>
    <x:row r="91" ht="36" customHeight="1">
      <x:c r="A91" s="11" t="str">
        <x:v>레시피 미사용</x:v>
      </x:c>
      <x:c r="B91" s="11" t="str">
        <x:v>칠리소스</x:v>
      </x:c>
      <x:c r="C91" s="13" t="n">
        <x:v>0</x:v>
      </x:c>
      <x:c r="D91" s="13" t="n">
        <x:v>0</x:v>
      </x:c>
      <x:c r="E91" s="13" t="n">
        <x:v>0</x:v>
      </x:c>
      <x:c r="F91" s="13" t="n">
        <x:v>1</x:v>
      </x:c>
      <x:c r="G91" s="219" t="n">
        <x:v>0.3</x:v>
      </x:c>
      <x:c r="H91" s="219" t="str">
        <x:f>IF(OR(D91=0,G91=0),"",D91/G91)</x:f>
      </x:c>
      <x:c r="I91" s="11" t="str">
        <x:v>캠핑 테마</x:v>
      </x:c>
      <x:c r="J91" s="118" t="str">
        <x:v>캠핑 테마·캠프파이어 병아리(특별 30%)</x:v>
      </x:c>
      <x:c r="K91" s="118" t="str"/>
      <x:c r="L91" s="11" t="str">
        <x:v>레시피 추가 또는 드랍 재배치</x:v>
      </x:c>
    </x:row>
    <x:row r="92" ht="36" customHeight="1">
      <x:c r="A92" s="11" t="str">
        <x:v>레시피 미사용</x:v>
      </x:c>
      <x:c r="B92" s="11" t="str">
        <x:v>카라멜시럽</x:v>
      </x:c>
      <x:c r="C92" s="13" t="n">
        <x:v>0</x:v>
      </x:c>
      <x:c r="D92" s="13" t="n">
        <x:v>0</x:v>
      </x:c>
      <x:c r="E92" s="13" t="n">
        <x:v>0</x:v>
      </x:c>
      <x:c r="F92" s="13" t="n">
        <x:v>1</x:v>
      </x:c>
      <x:c r="G92" s="219" t="n">
        <x:v>0.3</x:v>
      </x:c>
      <x:c r="H92" s="219" t="str">
        <x:f>IF(OR(D92=0,G92=0),"",D92/G92)</x:f>
      </x:c>
      <x:c r="I92" s="11" t="str">
        <x:v>패스트푸드 테마</x:v>
      </x:c>
      <x:c r="J92" s="118" t="str">
        <x:v>패스트푸드 테마·콜라 병아리(특별 30%)</x:v>
      </x:c>
      <x:c r="K92" s="118" t="str"/>
      <x:c r="L92" s="11" t="str">
        <x:v>레시피 추가 또는 드랍 재배치</x:v>
      </x:c>
    </x:row>
    <x:row r="93" ht="36" customHeight="1">
      <x:c r="A93" s="11" t="str">
        <x:v>레시피 미사용</x:v>
      </x:c>
      <x:c r="B93" s="11" t="str">
        <x:v>현자의돌</x:v>
      </x:c>
      <x:c r="C93" s="13" t="n">
        <x:v>0</x:v>
      </x:c>
      <x:c r="D93" s="13" t="n">
        <x:v>0</x:v>
      </x:c>
      <x:c r="E93" s="13" t="n">
        <x:v>0</x:v>
      </x:c>
      <x:c r="F93" s="13" t="n">
        <x:v>1</x:v>
      </x:c>
      <x:c r="G93" s="219" t="n">
        <x:v>0.3</x:v>
      </x:c>
      <x:c r="H93" s="219" t="str">
        <x:f>IF(OR(D93=0,G93=0),"",D93/G93)</x:f>
      </x:c>
      <x:c r="I93" s="11" t="str">
        <x:v>우주 점성술 테마</x:v>
      </x:c>
      <x:c r="J93" s="118" t="str">
        <x:v>우주 점성술 테마·대마법사 병아리(특별 30%)</x:v>
      </x:c>
      <x:c r="K93" s="118" t="str"/>
      <x:c r="L93" s="11" t="str">
        <x:v>레시피 추가 또는 드랍 재배치</x:v>
      </x:c>
    </x:row>
    <x:row r="94" ht="36" customHeight="1">
      <x:c r="A94" s="11" t="str">
        <x:v>레시피 미사용</x:v>
      </x:c>
      <x:c r="B94" s="11" t="str">
        <x:v>호밀</x:v>
      </x:c>
      <x:c r="C94" s="13" t="n">
        <x:v>0</x:v>
      </x:c>
      <x:c r="D94" s="13" t="n">
        <x:v>0</x:v>
      </x:c>
      <x:c r="E94" s="13" t="n">
        <x:v>0</x:v>
      </x:c>
      <x:c r="F94" s="13" t="n">
        <x:v>1</x:v>
      </x:c>
      <x:c r="G94" s="219" t="n">
        <x:v>0.3</x:v>
      </x:c>
      <x:c r="H94" s="219" t="str">
        <x:f>IF(OR(D94=0,G94=0),"",D94/G94)</x:f>
      </x:c>
      <x:c r="I94" s="11" t="str">
        <x:v>무덤 테마</x:v>
      </x:c>
      <x:c r="J94" s="118" t="str">
        <x:v>무덤 테마·리퍼 병아리(특별 30%)</x:v>
      </x:c>
      <x:c r="K94" s="118" t="str"/>
      <x:c r="L94" s="11" t="str">
        <x:v>레시피 추가 또는 드랍 재배치</x:v>
      </x:c>
    </x:row>
    <x:row r="95" ht="36" customHeight="1">
      <x:c r="A95" s="11" t="str">
        <x:v>보통</x:v>
      </x:c>
      <x:c r="B95" s="11" t="str">
        <x:v>설탕</x:v>
      </x:c>
      <x:c r="C95" s="13" t="n">
        <x:v>6</x:v>
      </x:c>
      <x:c r="D95" s="13" t="n">
        <x:v>6</x:v>
      </x:c>
      <x:c r="E95" s="13" t="n">
        <x:v>3</x:v>
      </x:c>
      <x:c r="F95" s="13" t="n">
        <x:v>0</x:v>
      </x:c>
      <x:c r="G95" s="219" t="n">
        <x:v>2.1</x:v>
      </x:c>
      <x:c r="H95" s="219" t="n">
        <x:f>IF(OR(D95=0,G95=0),"",D95/G95)</x:f>
        <x:v>2.857142857142857</x:v>
      </x:c>
      <x:c r="I95" s="11" t="str">
        <x:v>벚꽃 테마</x:v>
      </x:c>
      <x:c r="J95" s="118" t="str">
        <x:v>벚꽃 테마·꽃 병아리(기본 70%), 식빵 테마·잼 병아리(기본 70%), 캠핑 테마·캠핑 토스트 병아리(기본 70%)</x:v>
      </x:c>
      <x:c r="K95" s="118" t="str">
        <x:v>시나몬 롤, 진저브레드, 해바라기씨 파이, 딸기 생크림 케이크, 체리 사탕, 연어초밥</x:v>
      </x:c>
      <x:c r="L95" s="11" t="str">
        <x:v>유지</x:v>
      </x:c>
    </x:row>
    <x:row r="96" ht="36" customHeight="1">
      <x:c r="A96" s="11" t="str">
        <x:v>보통</x:v>
      </x:c>
      <x:c r="B96" s="11" t="str">
        <x:v>열매</x:v>
      </x:c>
      <x:c r="C96" s="13" t="n">
        <x:v>2</x:v>
      </x:c>
      <x:c r="D96" s="13" t="n">
        <x:v>2</x:v>
      </x:c>
      <x:c r="E96" s="13" t="n">
        <x:v>1</x:v>
      </x:c>
      <x:c r="F96" s="13" t="n">
        <x:v>0</x:v>
      </x:c>
      <x:c r="G96" s="219" t="n">
        <x:v>0.7</x:v>
      </x:c>
      <x:c r="H96" s="219" t="n">
        <x:f>IF(OR(D96=0,G96=0),"",D96/G96)</x:f>
        <x:v>2.857142857142857</x:v>
      </x:c>
      <x:c r="I96" s="11" t="str">
        <x:v>나무 테마</x:v>
      </x:c>
      <x:c r="J96" s="118" t="str">
        <x:v>나무 테마·도토리 병아리(기본 70%)</x:v>
      </x:c>
      <x:c r="K96" s="118" t="str">
        <x:v>상큼 나뭇잎 샐러드, 열매꼬치구이</x:v>
      </x:c>
      <x:c r="L96" s="11" t="str">
        <x:v>유지</x:v>
      </x:c>
    </x:row>
    <x:row r="97" ht="36" customHeight="1">
      <x:c r="A97" s="11" t="str">
        <x:v>보통</x:v>
      </x:c>
      <x:c r="B97" s="11" t="str">
        <x:v>체리</x:v>
      </x:c>
      <x:c r="C97" s="13" t="n">
        <x:v>2</x:v>
      </x:c>
      <x:c r="D97" s="13" t="n">
        <x:v>2</x:v>
      </x:c>
      <x:c r="E97" s="13" t="n">
        <x:v>1</x:v>
      </x:c>
      <x:c r="F97" s="13" t="n">
        <x:v>0</x:v>
      </x:c>
      <x:c r="G97" s="219" t="n">
        <x:v>0.7</x:v>
      </x:c>
      <x:c r="H97" s="219" t="n">
        <x:f>IF(OR(D97=0,G97=0),"",D97/G97)</x:f>
        <x:v>2.857142857142857</x:v>
      </x:c>
      <x:c r="I97" s="11" t="str">
        <x:v>벚꽃 테마</x:v>
      </x:c>
      <x:c r="J97" s="118" t="str">
        <x:v>벚꽃 테마·체리 병아리(기본 70%)</x:v>
      </x:c>
      <x:c r="K97" s="118" t="str">
        <x:v>체리 사탕, 과일 가족 모임</x:v>
      </x:c>
      <x:c r="L97" s="11" t="str">
        <x:v>유지</x:v>
      </x:c>
    </x:row>
    <x:row r="98" ht="36" customHeight="1">
      <x:c r="A98" s="11" t="str">
        <x:v>보통</x:v>
      </x:c>
      <x:c r="B98" s="11" t="str">
        <x:v>생크림</x:v>
      </x:c>
      <x:c r="C98" s="13" t="n">
        <x:v>3</x:v>
      </x:c>
      <x:c r="D98" s="13" t="n">
        <x:v>3</x:v>
      </x:c>
      <x:c r="E98" s="13" t="n">
        <x:v>1</x:v>
      </x:c>
      <x:c r="F98" s="13" t="n">
        <x:v>1</x:v>
      </x:c>
      <x:c r="G98" s="219" t="n">
        <x:v>1.3</x:v>
      </x:c>
      <x:c r="H98" s="219" t="n">
        <x:f>IF(OR(D98=0,G98=0),"",D98/G98)</x:f>
        <x:v>2.3076923076923075</x:v>
      </x:c>
      <x:c r="I98" s="11" t="str">
        <x:v>블루화이트 테마</x:v>
      </x:c>
      <x:c r="J98" s="118" t="str">
        <x:v>블루화이트 테마·파란 보닛 병아리(특별 30%), 무덤 테마·유령 병아리(단일 100%)</x:v>
      </x:c>
      <x:c r="K98" s="118" t="str">
        <x:v>콘스프, 트러플 크림 리조또, 딸기 생크림 케이크</x:v>
      </x:c>
      <x:c r="L98" s="11" t="str">
        <x:v>유지</x:v>
      </x:c>
    </x:row>
    <x:row r="99" ht="36" customHeight="1">
      <x:c r="A99" s="11" t="str">
        <x:v>보통</x:v>
      </x:c>
      <x:c r="B99" s="11" t="str">
        <x:v>식용유</x:v>
      </x:c>
      <x:c r="C99" s="13" t="n">
        <x:v>4</x:v>
      </x:c>
      <x:c r="D99" s="13" t="n">
        <x:v>4</x:v>
      </x:c>
      <x:c r="E99" s="13" t="n">
        <x:v>2</x:v>
      </x:c>
      <x:c r="F99" s="13" t="n">
        <x:v>1</x:v>
      </x:c>
      <x:c r="G99" s="219" t="n">
        <x:v>2</x:v>
      </x:c>
      <x:c r="H99" s="219" t="n">
        <x:f>IF(OR(D99=0,G99=0),"",D99/G99)</x:f>
        <x:v>2</x:v>
      </x:c>
      <x:c r="I99" s="11" t="str">
        <x:v>한식당 테마</x:v>
      </x:c>
      <x:c r="J99" s="118" t="str">
        <x:v>한식당 테마·프라이팬 병아리(특별 30%), 이태리 테마·이탈리아 채소 병아리(기본 70%), 톨게이트 테마·자동차 병아리(단일 100%)</x:v>
      </x:c>
      <x:c r="K99" s="118" t="str">
        <x:v>계란볶음밥, 김치볶음밥, 마늘 김치볶음, 치즈 오믈렛</x:v>
      </x:c>
      <x:c r="L99" s="11" t="str">
        <x:v>유지</x:v>
      </x:c>
    </x:row>
    <x:row r="100" ht="36" customHeight="1">
      <x:c r="A100" s="11" t="str">
        <x:v>보통</x:v>
      </x:c>
      <x:c r="B100" s="11" t="str">
        <x:v>마늘</x:v>
      </x:c>
      <x:c r="C100" s="13" t="n">
        <x:v>2</x:v>
      </x:c>
      <x:c r="D100" s="13" t="n">
        <x:v>2</x:v>
      </x:c>
      <x:c r="E100" s="13" t="n">
        <x:v>1</x:v>
      </x:c>
      <x:c r="F100" s="13" t="n">
        <x:v>1</x:v>
      </x:c>
      <x:c r="G100" s="219" t="n">
        <x:v>1</x:v>
      </x:c>
      <x:c r="H100" s="219" t="n">
        <x:f>IF(OR(D100=0,G100=0),"",D100/G100)</x:f>
        <x:v>2</x:v>
      </x:c>
      <x:c r="I100" s="11" t="str">
        <x:v>채소밭 테마</x:v>
      </x:c>
      <x:c r="J100" s="118" t="str">
        <x:v>채소밭 테마·채소 바구니 병아리(특별 30%), 무덤 테마·리퍼 병아리(기본 70%)</x:v>
      </x:c>
      <x:c r="K100" s="118" t="str">
        <x:v>마늘 김치볶음, 마늘 육회</x:v>
      </x:c>
      <x:c r="L100" s="11" t="str">
        <x:v>유지</x:v>
      </x:c>
    </x:row>
    <x:row r="101" ht="36" customHeight="1">
      <x:c r="A101" s="11" t="str">
        <x:v>보통</x:v>
      </x:c>
      <x:c r="B101" s="11" t="str">
        <x:v>계란</x:v>
      </x:c>
      <x:c r="C101" s="13" t="n">
        <x:v>4</x:v>
      </x:c>
      <x:c r="D101" s="13" t="n">
        <x:v>4</x:v>
      </x:c>
      <x:c r="E101" s="13" t="n">
        <x:v>2</x:v>
      </x:c>
      <x:c r="F101" s="13" t="n">
        <x:v>2</x:v>
      </x:c>
      <x:c r="G101" s="219" t="n">
        <x:v>2.3</x:v>
      </x:c>
      <x:c r="H101" s="219" t="n">
        <x:f>IF(OR(D101=0,G101=0),"",D101/G101)</x:f>
        <x:v>1.7391304347826089</x:v>
      </x:c>
      <x:c r="I101" s="11" t="str">
        <x:v>한식당 테마</x:v>
      </x:c>
      <x:c r="J101" s="118" t="str">
        <x:v>한식당 테마·프라이팬 병아리(기본 70%), 채소밭 테마·가지 병아리(특별 30%), 병아리 테마·닭 병아리(단일 100%), 목욕탕 테마·목욕 바구니 병아리(특별 30%)</x:v>
      </x:c>
      <x:c r="K101" s="118" t="str">
        <x:v>계란볶음밥, 마늘 육회, 치즈 간장계란밥, 치즈 오믈렛</x:v>
      </x:c>
      <x:c r="L101" s="11" t="str">
        <x:v>유지</x:v>
      </x:c>
    </x:row>
    <x:row r="102" ht="36" customHeight="1">
      <x:c r="A102" s="11" t="str">
        <x:v>보통</x:v>
      </x:c>
      <x:c r="B102" s="11" t="str">
        <x:v>후추</x:v>
      </x:c>
      <x:c r="C102" s="13" t="n">
        <x:v>1</x:v>
      </x:c>
      <x:c r="D102" s="13" t="n">
        <x:v>1</x:v>
      </x:c>
      <x:c r="E102" s="13" t="n">
        <x:v>0</x:v>
      </x:c>
      <x:c r="F102" s="13" t="n">
        <x:v>2</x:v>
      </x:c>
      <x:c r="G102" s="219" t="n">
        <x:v>0.6</x:v>
      </x:c>
      <x:c r="H102" s="219" t="n">
        <x:f>IF(OR(D102=0,G102=0),"",D102/G102)</x:f>
        <x:v>1.6666666666666667</x:v>
      </x:c>
      <x:c r="I102" s="11" t="str">
        <x:v>블루화이트 테마</x:v>
      </x:c>
      <x:c r="J102" s="118" t="str">
        <x:v>블루화이트 테마·파란 리본 병아리(특별 30%), 학교 테마·연필 병아리(특별 30%)</x:v>
      </x:c>
      <x:c r="K102" s="118" t="str">
        <x:v>후추 스테이크</x:v>
      </x:c>
      <x:c r="L102" s="11" t="str">
        <x:v>유지</x:v>
      </x:c>
    </x:row>
    <x:row r="103" ht="36" customHeight="1">
      <x:c r="A103" s="11" t="str">
        <x:v>여유</x:v>
      </x:c>
      <x:c r="B103" s="11" t="str">
        <x:v>가지</x:v>
      </x:c>
      <x:c r="C103" s="13" t="n">
        <x:v>1</x:v>
      </x:c>
      <x:c r="D103" s="13" t="n">
        <x:v>1</x:v>
      </x:c>
      <x:c r="E103" s="13" t="n">
        <x:v>1</x:v>
      </x:c>
      <x:c r="F103" s="13" t="n">
        <x:v>0</x:v>
      </x:c>
      <x:c r="G103" s="219" t="n">
        <x:v>0.7</x:v>
      </x:c>
      <x:c r="H103" s="219" t="n">
        <x:f>IF(OR(D103=0,G103=0),"",D103/G103)</x:f>
        <x:v>1.4285714285714286</x:v>
      </x:c>
      <x:c r="I103" s="11" t="str">
        <x:v>채소밭 테마</x:v>
      </x:c>
      <x:c r="J103" s="118" t="str">
        <x:v>채소밭 테마·가지 병아리(기본 70%)</x:v>
      </x:c>
      <x:c r="K103" s="118" t="str">
        <x:v>가지 소고기 덮밥</x:v>
      </x:c>
      <x:c r="L103" s="11" t="str">
        <x:v>유지</x:v>
      </x:c>
    </x:row>
    <x:row r="104" ht="36" customHeight="1">
      <x:c r="A104" s="11" t="str">
        <x:v>여유</x:v>
      </x:c>
      <x:c r="B104" s="11" t="str">
        <x:v>대구</x:v>
      </x:c>
      <x:c r="C104" s="13" t="n">
        <x:v>1</x:v>
      </x:c>
      <x:c r="D104" s="13" t="n">
        <x:v>1</x:v>
      </x:c>
      <x:c r="E104" s="13" t="n">
        <x:v>1</x:v>
      </x:c>
      <x:c r="F104" s="13" t="n">
        <x:v>0</x:v>
      </x:c>
      <x:c r="G104" s="219" t="n">
        <x:v>0.7</x:v>
      </x:c>
      <x:c r="H104" s="219" t="n">
        <x:f>IF(OR(D104=0,G104=0),"",D104/G104)</x:f>
        <x:v>1.4285714285714286</x:v>
      </x:c>
      <x:c r="I104" s="11" t="str">
        <x:v>블루 땡땡이 테마</x:v>
      </x:c>
      <x:c r="J104" s="118" t="str">
        <x:v>블루 땡땡이 테마·고양이 병아리(기본 70%)</x:v>
      </x:c>
      <x:c r="K104" s="118" t="str">
        <x:v>대구구이</x:v>
      </x:c>
      <x:c r="L104" s="11" t="str">
        <x:v>유지</x:v>
      </x:c>
    </x:row>
    <x:row r="105" ht="36" customHeight="1">
      <x:c r="A105" s="11" t="str">
        <x:v>여유</x:v>
      </x:c>
      <x:c r="B105" s="11" t="str">
        <x:v>양배추</x:v>
      </x:c>
      <x:c r="C105" s="13" t="n">
        <x:v>1</x:v>
      </x:c>
      <x:c r="D105" s="13" t="n">
        <x:v>1</x:v>
      </x:c>
      <x:c r="E105" s="13" t="n">
        <x:v>1</x:v>
      </x:c>
      <x:c r="F105" s="13" t="n">
        <x:v>0</x:v>
      </x:c>
      <x:c r="G105" s="219" t="n">
        <x:v>0.7</x:v>
      </x:c>
      <x:c r="H105" s="219" t="n">
        <x:f>IF(OR(D105=0,G105=0),"",D105/G105)</x:f>
        <x:v>1.4285714285714286</x:v>
      </x:c>
      <x:c r="I105" s="11" t="str">
        <x:v>채소밭 테마</x:v>
      </x:c>
      <x:c r="J105" s="118" t="str">
        <x:v>채소밭 테마·배추 병아리(기본 70%)</x:v>
      </x:c>
      <x:c r="K105" s="118" t="str">
        <x:v>양배추 딤섬</x:v>
      </x:c>
      <x:c r="L105" s="11" t="str">
        <x:v>유지</x:v>
      </x:c>
    </x:row>
    <x:row r="106" ht="36" customHeight="1">
      <x:c r="A106" s="11" t="str">
        <x:v>여유</x:v>
      </x:c>
      <x:c r="B106" s="11" t="str">
        <x:v>요거트</x:v>
      </x:c>
      <x:c r="C106" s="13" t="n">
        <x:v>1</x:v>
      </x:c>
      <x:c r="D106" s="13" t="n">
        <x:v>1</x:v>
      </x:c>
      <x:c r="E106" s="13" t="n">
        <x:v>1</x:v>
      </x:c>
      <x:c r="F106" s="13" t="n">
        <x:v>0</x:v>
      </x:c>
      <x:c r="G106" s="219" t="n">
        <x:v>0.7</x:v>
      </x:c>
      <x:c r="H106" s="219" t="n">
        <x:f>IF(OR(D106=0,G106=0),"",D106/G106)</x:f>
        <x:v>1.4285714285714286</x:v>
      </x:c>
      <x:c r="I106" s="11" t="str">
        <x:v>그린핑크 테마</x:v>
      </x:c>
      <x:c r="J106" s="118" t="str">
        <x:v>그린핑크 테마·복숭아 천사 병아리(기본 70%)</x:v>
      </x:c>
      <x:c r="K106" s="118" t="str">
        <x:v>복숭아 요거트</x:v>
      </x:c>
      <x:c r="L106" s="11" t="str">
        <x:v>유지</x:v>
      </x:c>
    </x:row>
    <x:row r="107" ht="36" customHeight="1">
      <x:c r="A107" s="11" t="str">
        <x:v>여유</x:v>
      </x:c>
      <x:c r="B107" s="11" t="str">
        <x:v>트러플</x:v>
      </x:c>
      <x:c r="C107" s="13" t="n">
        <x:v>1</x:v>
      </x:c>
      <x:c r="D107" s="13" t="n">
        <x:v>1</x:v>
      </x:c>
      <x:c r="E107" s="13" t="n">
        <x:v>1</x:v>
      </x:c>
      <x:c r="F107" s="13" t="n">
        <x:v>0</x:v>
      </x:c>
      <x:c r="G107" s="219" t="n">
        <x:v>0.7</x:v>
      </x:c>
      <x:c r="H107" s="219" t="n">
        <x:f>IF(OR(D107=0,G107=0),"",D107/G107)</x:f>
        <x:v>1.4285714285714286</x:v>
      </x:c>
      <x:c r="I107" s="11" t="str">
        <x:v>블루화이트 테마</x:v>
      </x:c>
      <x:c r="J107" s="118" t="str">
        <x:v>블루화이트 테마·파란 보닛 병아리(기본 70%)</x:v>
      </x:c>
      <x:c r="K107" s="118" t="str">
        <x:v>트러플 크림 리조또</x:v>
      </x:c>
      <x:c r="L107" s="11" t="str">
        <x:v>유지</x:v>
      </x:c>
    </x:row>
    <x:row r="108" ht="36" customHeight="1">
      <x:c r="A108" s="11" t="str">
        <x:v>여유</x:v>
      </x:c>
      <x:c r="B108" s="11" t="str">
        <x:v>오이</x:v>
      </x:c>
      <x:c r="C108" s="13" t="n">
        <x:v>1</x:v>
      </x:c>
      <x:c r="D108" s="13" t="n">
        <x:v>1</x:v>
      </x:c>
      <x:c r="E108" s="13" t="n">
        <x:v>1</x:v>
      </x:c>
      <x:c r="F108" s="13" t="n">
        <x:v>1</x:v>
      </x:c>
      <x:c r="G108" s="219" t="n">
        <x:v>1</x:v>
      </x:c>
      <x:c r="H108" s="219" t="n">
        <x:f>IF(OR(D108=0,G108=0),"",D108/G108)</x:f>
        <x:v>1</x:v>
      </x:c>
      <x:c r="I108" s="11" t="str">
        <x:v>채소밭 테마</x:v>
      </x:c>
      <x:c r="J108" s="118" t="str">
        <x:v>채소밭 테마·채소 바구니 병아리(기본 70%), 패스트푸드 테마·햄버거 병아리(특별 30%)</x:v>
      </x:c>
      <x:c r="K108" s="118" t="str">
        <x:v>씨앗 오이 샐러드</x:v>
      </x:c>
      <x:c r="L108" s="11" t="str">
        <x:v>유지</x:v>
      </x:c>
    </x:row>
    <x:row r="109" ht="36" customHeight="1">
      <x:c r="A109" s="11" t="str">
        <x:v>여유</x:v>
      </x:c>
      <x:c r="B109" s="11" t="str">
        <x:v>우유</x:v>
      </x:c>
      <x:c r="C109" s="13" t="n">
        <x:v>1</x:v>
      </x:c>
      <x:c r="D109" s="13" t="n">
        <x:v>1</x:v>
      </x:c>
      <x:c r="E109" s="13" t="n">
        <x:v>2</x:v>
      </x:c>
      <x:c r="F109" s="13" t="n">
        <x:v>0</x:v>
      </x:c>
      <x:c r="G109" s="219" t="n">
        <x:v>1.7</x:v>
      </x:c>
      <x:c r="H109" s="219" t="n">
        <x:f>IF(OR(D109=0,G109=0),"",D109/G109)</x:f>
        <x:v>0.5882352941176471</x:v>
      </x:c>
      <x:c r="I109" s="11" t="str">
        <x:v>블루 땡땡이 테마</x:v>
      </x:c>
      <x:c r="J109" s="118" t="str">
        <x:v>블루 땡땡이 테마·잠옷 병아리(단일 100%), 목욕탕 테마·바나나 병아리(기본 70%)</x:v>
      </x:c>
      <x:c r="K109" s="118" t="str">
        <x:v>치즈 오믈렛</x:v>
      </x:c>
      <x:c r="L109" s="11" t="str">
        <x:v>유지</x:v>
      </x:c>
    </x:row>
  </x:sheetData>
  <x:mergeCells>
    <x:mergeCell ref="A1:L1"/>
    <x:mergeCell ref="A2:L2"/>
    <x:mergeCell ref="A4:D4"/>
    <x:mergeCell ref="A5:D6"/>
    <x:mergeCell ref="E4:H4"/>
    <x:mergeCell ref="E5:H6"/>
    <x:mergeCell ref="I4:L4"/>
    <x:mergeCell ref="I5:L6"/>
    <x:mergeCell ref="A8:L8"/>
  </x:mergeCells>
  <x:conditionalFormatting sqref="H11:H109">
    <x:cfRule type="dataBar" priority="1">
      <x:dataBar>
        <x:cfvo type="min"/>
        <x:cfvo type="max"/>
        <x:color rgb="FFD07B48"/>
      </x:dataBar>
      <x:extLst>
        <x:ext xmlns:x14="http://schemas.microsoft.com/office/spreadsheetml/2009/9/main" uri="{B025F937-C7B1-47D3-B67F-A62EFF666E3E}">
          <x14:id>{1A47F58D-54C9-F1E7-DDA3-4D9CBA68C942}</x14:id>
        </x:ext>
      </x:extLst>
    </x:cfRule>
  </x:conditionalFormatting>
  <x:conditionalFormatting sqref="A11:A109">
    <x:cfRule type="containsText" dxfId="0" priority="2" operator="containsText" text="획득 경로 없음"/>
    <x:cfRule type="containsText" dxfId="1" priority="3" operator="containsText" text="매우 부족"/>
    <x:cfRule type="containsText" dxfId="2" priority="4" operator="containsText" text="부족"/>
    <x:cfRule type="containsText" dxfId="3" priority="5" operator="containsText" text="레시피 미사용"/>
    <x:cfRule type="containsText" dxfId="4" priority="6" operator="containsText" text="여유"/>
  </x:conditionalFormatting>
  <x:pageMargins left="0.7" right="0.7" top="0.75" bottom="0.75" header="0.3" footer="0.3"/>
  <x:tableParts count="1">
    <x:tablePart xmlns:r="http://schemas.openxmlformats.org/officeDocument/2006/relationships" r:id="Ref17d9d6a7d645b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A47F58D-54C9-F1E7-DDA3-4D9CBA68C942}">
            <x14:dataBar gradient="1">
              <x14:cfvo type="min"/>
              <x14:cfvo type="max"/>
              <x14:fillColor rgb="FFD07B48"/>
            </x14:dataBar>
          </x14:cfRule>
          <xm:sqref>H11:H109</xm:sqref>
        </x14:conditionalFormatting>
      </x14:conditionalFormattings>
    </x:ext>
  </x:extLst>
</x:worksheet>
</file>